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.20V &amp; -20V PS\20V &amp; -20V PS\Calculations\"/>
    </mc:Choice>
  </mc:AlternateContent>
  <xr:revisionPtr revIDLastSave="0" documentId="13_ncr:1_{6F67C509-70B8-45E6-BE49-EEFB6DA6C01F}" xr6:coauthVersionLast="47" xr6:coauthVersionMax="47" xr10:uidLastSave="{00000000-0000-0000-0000-000000000000}"/>
  <bookViews>
    <workbookView xWindow="-120" yWindow="-120" windowWidth="20730" windowHeight="11040" firstSheet="1" activeTab="3" xr2:uid="{B10E5123-95AD-4C3D-8702-1D62EF7B1DE0}"/>
  </bookViews>
  <sheets>
    <sheet name="Buck Calculations" sheetId="5" r:id="rId1"/>
    <sheet name="IBB Calculations - Original" sheetId="1" r:id="rId2"/>
    <sheet name="IBB Calculations - LM2596" sheetId="8" r:id="rId3"/>
    <sheet name="IBB Calculations - LM5088-1" sheetId="9" r:id="rId4"/>
    <sheet name="Feed Back Res &amp; Test Load Calc." sheetId="2" r:id="rId5"/>
    <sheet name="TPS16416 - OVP IC Calculations" sheetId="6" r:id="rId6"/>
    <sheet name="TL431 Calculation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9" l="1"/>
  <c r="B42" i="9"/>
  <c r="B41" i="9"/>
  <c r="B39" i="9"/>
  <c r="E43" i="9"/>
  <c r="E42" i="9"/>
  <c r="E40" i="9"/>
  <c r="E39" i="9"/>
  <c r="H52" i="9"/>
  <c r="H51" i="9"/>
  <c r="H50" i="9"/>
  <c r="H49" i="9"/>
  <c r="H45" i="9"/>
  <c r="H42" i="9"/>
  <c r="H41" i="9"/>
  <c r="H43" i="9"/>
  <c r="H39" i="9"/>
  <c r="H40" i="9"/>
  <c r="H32" i="9"/>
  <c r="H13" i="9"/>
  <c r="H33" i="9"/>
  <c r="H34" i="9"/>
  <c r="H35" i="9" s="1"/>
  <c r="B26" i="9"/>
  <c r="H31" i="9"/>
  <c r="E35" i="9"/>
  <c r="E36" i="9" s="1"/>
  <c r="E33" i="9"/>
  <c r="B35" i="9"/>
  <c r="B34" i="9"/>
  <c r="H27" i="9"/>
  <c r="H26" i="9"/>
  <c r="H24" i="9"/>
  <c r="E26" i="9"/>
  <c r="E25" i="9"/>
  <c r="B25" i="9"/>
  <c r="H17" i="9"/>
  <c r="H16" i="9"/>
  <c r="H15" i="9"/>
  <c r="H14" i="9"/>
  <c r="H12" i="9"/>
  <c r="E8" i="9"/>
  <c r="H7" i="9"/>
  <c r="H5" i="9"/>
  <c r="H6" i="9" s="1"/>
  <c r="H4" i="9"/>
  <c r="H3" i="9"/>
  <c r="E15" i="9"/>
  <c r="E13" i="9"/>
  <c r="B18" i="9"/>
  <c r="B19" i="9" s="1"/>
  <c r="B17" i="9"/>
  <c r="B16" i="9"/>
  <c r="B15" i="9"/>
  <c r="E2" i="9"/>
  <c r="B2" i="9"/>
  <c r="E4" i="9" s="1"/>
  <c r="E7" i="9" s="1"/>
  <c r="B3" i="9"/>
  <c r="B4" i="9"/>
  <c r="B13" i="2"/>
  <c r="B11" i="2" s="1"/>
  <c r="E3" i="7"/>
  <c r="B7" i="8"/>
  <c r="B8" i="8" s="1"/>
  <c r="B6" i="8"/>
  <c r="H12" i="8"/>
  <c r="H14" i="8" s="1"/>
  <c r="H15" i="8" s="1"/>
  <c r="B21" i="8"/>
  <c r="B22" i="8" s="1"/>
  <c r="E20" i="8"/>
  <c r="E14" i="8"/>
  <c r="H10" i="1"/>
  <c r="H15" i="1" s="1"/>
  <c r="H16" i="1" s="1"/>
  <c r="E10" i="1"/>
  <c r="B13" i="8"/>
  <c r="B16" i="8" s="1"/>
  <c r="H4" i="8"/>
  <c r="E3" i="8"/>
  <c r="E6" i="8" s="1"/>
  <c r="B5" i="7"/>
  <c r="B5" i="2"/>
  <c r="E6" i="1"/>
  <c r="B5" i="1"/>
  <c r="B6" i="1" s="1"/>
  <c r="E3" i="1"/>
  <c r="H15" i="5"/>
  <c r="B5" i="5"/>
  <c r="E2" i="5"/>
  <c r="H10" i="5"/>
  <c r="E4" i="6"/>
  <c r="E5" i="6" s="1"/>
  <c r="E3" i="6"/>
  <c r="B15" i="6"/>
  <c r="B7" i="6"/>
  <c r="B2" i="6"/>
  <c r="G4" i="2"/>
  <c r="G6" i="2" s="1"/>
  <c r="F4" i="2"/>
  <c r="F5" i="2" s="1"/>
  <c r="E4" i="2"/>
  <c r="E5" i="2" s="1"/>
  <c r="B21" i="5"/>
  <c r="B20" i="5"/>
  <c r="H4" i="5"/>
  <c r="B21" i="1"/>
  <c r="B20" i="1"/>
  <c r="H12" i="1"/>
  <c r="H4" i="1"/>
  <c r="H11" i="1" s="1"/>
  <c r="B11" i="1"/>
  <c r="B14" i="1" s="1"/>
  <c r="H44" i="9" l="1"/>
  <c r="B27" i="9"/>
  <c r="B28" i="9" s="1"/>
  <c r="E18" i="9"/>
  <c r="E19" i="9" s="1"/>
  <c r="B20" i="9"/>
  <c r="E16" i="9"/>
  <c r="E17" i="9" s="1"/>
  <c r="B5" i="9"/>
  <c r="B6" i="9" s="1"/>
  <c r="G5" i="2"/>
  <c r="E6" i="2"/>
  <c r="F6" i="2"/>
  <c r="E11" i="1"/>
  <c r="E14" i="1" s="1"/>
  <c r="H16" i="5"/>
  <c r="E3" i="5" s="1"/>
  <c r="E5" i="5" s="1"/>
  <c r="B6" i="5"/>
  <c r="E12" i="1"/>
  <c r="E10" i="5" l="1"/>
  <c r="E12" i="5" s="1"/>
  <c r="B11" i="5"/>
  <c r="E17" i="1"/>
  <c r="E17" i="5" l="1"/>
  <c r="E4" i="7"/>
</calcChain>
</file>

<file path=xl/sharedStrings.xml><?xml version="1.0" encoding="utf-8"?>
<sst xmlns="http://schemas.openxmlformats.org/spreadsheetml/2006/main" count="286" uniqueCount="176">
  <si>
    <t>Duty Cycle</t>
  </si>
  <si>
    <t>VOUT</t>
  </si>
  <si>
    <t>VIN</t>
  </si>
  <si>
    <t>Efficiency (n)</t>
  </si>
  <si>
    <t>Result</t>
  </si>
  <si>
    <t>Percentage</t>
  </si>
  <si>
    <t>IIN</t>
  </si>
  <si>
    <t>IL</t>
  </si>
  <si>
    <t>Result (A)</t>
  </si>
  <si>
    <t>IPEAK</t>
  </si>
  <si>
    <t>Fs</t>
  </si>
  <si>
    <t>L</t>
  </si>
  <si>
    <t>ΔIL</t>
  </si>
  <si>
    <t>Inductance (uH)</t>
  </si>
  <si>
    <t>Duty Cycle (D)</t>
  </si>
  <si>
    <t>IVALLEY</t>
  </si>
  <si>
    <t>Note: (IVALLEY same as IPEAK but VIN/2FL*D is subtracted)</t>
  </si>
  <si>
    <t>RFBB</t>
  </si>
  <si>
    <t>RFBT (Kohm)</t>
  </si>
  <si>
    <t>Result (Kohm)</t>
  </si>
  <si>
    <t>CFF</t>
  </si>
  <si>
    <t>RFBT (kohms)</t>
  </si>
  <si>
    <t>COUT (F)</t>
  </si>
  <si>
    <t>Load Calc</t>
  </si>
  <si>
    <t>IMAXOUT</t>
  </si>
  <si>
    <t>IMAXOUT (A)</t>
  </si>
  <si>
    <t>ILIM (MIN) (A)</t>
  </si>
  <si>
    <t>ISW MAX</t>
  </si>
  <si>
    <t>Resistance (ohms)</t>
  </si>
  <si>
    <t>VOUT (V)</t>
  </si>
  <si>
    <t>VREF (V)</t>
  </si>
  <si>
    <t>Voltage (V)</t>
  </si>
  <si>
    <t>Current In Each Branch (A)</t>
  </si>
  <si>
    <t>Wattage (W)</t>
  </si>
  <si>
    <t>Total (A)</t>
  </si>
  <si>
    <t>VIN (V)</t>
  </si>
  <si>
    <t>|VOUT| (V)</t>
  </si>
  <si>
    <t>IOUT (A)</t>
  </si>
  <si>
    <t>Fs (Hz)</t>
  </si>
  <si>
    <t>L (uH)</t>
  </si>
  <si>
    <t>ΔIL (A)</t>
  </si>
  <si>
    <t>Result (uF)</t>
  </si>
  <si>
    <t>IOUTMAX (A)</t>
  </si>
  <si>
    <t>ISWMAX (A)</t>
  </si>
  <si>
    <t>IVALLEY (A)</t>
  </si>
  <si>
    <t>IOUT MAX (A)</t>
  </si>
  <si>
    <t>K (A)</t>
  </si>
  <si>
    <t>ILIM (A)</t>
  </si>
  <si>
    <t>RBOT (k ohm)</t>
  </si>
  <si>
    <t>I(A)</t>
  </si>
  <si>
    <t>IOCP (A)</t>
  </si>
  <si>
    <t>RILM (k ohm)</t>
  </si>
  <si>
    <t>RIOCP (k ohm)</t>
  </si>
  <si>
    <t>Blanking Time</t>
  </si>
  <si>
    <t>Time (ms)</t>
  </si>
  <si>
    <t>Capacitance (nF)</t>
  </si>
  <si>
    <t>Result (ms)</t>
  </si>
  <si>
    <t>CDYL (nF)</t>
  </si>
  <si>
    <t>OVP Rising Setpoint Voltage (V)</t>
  </si>
  <si>
    <t>VOVPR (V)</t>
  </si>
  <si>
    <t>R1 (M-Ohm)</t>
  </si>
  <si>
    <t>R2 (ohms)</t>
  </si>
  <si>
    <t>R2 (k ohm)</t>
  </si>
  <si>
    <t>(At  27.2Vm R2 is 58.3k)</t>
  </si>
  <si>
    <t>Average Inductor Current IL</t>
  </si>
  <si>
    <t>(Note: Resistors Have +/- 5% tolerance</t>
  </si>
  <si>
    <t>Falstad Simulation</t>
  </si>
  <si>
    <t>TL431</t>
  </si>
  <si>
    <t>Triac</t>
  </si>
  <si>
    <t>Input Votlage (V)</t>
  </si>
  <si>
    <t>R1 (k ohm)</t>
  </si>
  <si>
    <t>Ref Voltage (V)</t>
  </si>
  <si>
    <t>Current (A)</t>
  </si>
  <si>
    <t>Resistance (k ohm)</t>
  </si>
  <si>
    <t>E*T</t>
  </si>
  <si>
    <t>R2</t>
  </si>
  <si>
    <t>R1 (kohm)</t>
  </si>
  <si>
    <t>Inverting Topology</t>
  </si>
  <si>
    <t>Ripple Voltage</t>
  </si>
  <si>
    <t>ESR Of COUT</t>
  </si>
  <si>
    <t>ΔIIND (A)</t>
  </si>
  <si>
    <t>ILOAD (A)</t>
  </si>
  <si>
    <t>ESR Of COUT (ohm)</t>
  </si>
  <si>
    <t>Result (V)</t>
  </si>
  <si>
    <t>Result (mV)</t>
  </si>
  <si>
    <t>Output Ripple Voltage (V)</t>
  </si>
  <si>
    <t>Result (ohm)</t>
  </si>
  <si>
    <t>Result (mohm)</t>
  </si>
  <si>
    <t>VSAT (V)</t>
  </si>
  <si>
    <t>Frequency (Hz)</t>
  </si>
  <si>
    <t xml:space="preserve">Result </t>
  </si>
  <si>
    <t>Result (V * us)</t>
  </si>
  <si>
    <t>Selected Inductance (Fig. 9-8)</t>
  </si>
  <si>
    <t>68uH</t>
  </si>
  <si>
    <t>Minimum Load Current (Before DISC Mode)</t>
  </si>
  <si>
    <t>Current (mA)</t>
  </si>
  <si>
    <t>Note: Triac gets activated at 25mA, around 28V</t>
  </si>
  <si>
    <t>Note: TL431 gets activated around 30V</t>
  </si>
  <si>
    <t>Note: See Microcap simulation</t>
  </si>
  <si>
    <t>https://www.falstad.com/circuit/circuitjs.html?ctz=CQAgjCAMB0l3BWcMBMcUHYMGZIA4UA2ATmIxAUgoqoQFMBaMMAKAEMQUFCRs8AWXth59BxXhH7RyYePHCx4hAcRT9CCAnhnI5LAEqduvZZzUm8UK-yoQq96AhYAnEOsEJ+g9yEL4rsvAsAOZuhIJ+lj6E5vYswlHhvAIUKJaiVpAsYBjeSV5RcBRgKOCccg5I+nQAzgCWNQAubAB2AMZ0LADubkX8eFQZ-XEARuDCnHgihBAIxlkAHuCE5NhcEhBrUZyCAAoA9vWNdQBudAA6NQBCAK5tANbdYYIZ2BMZWT1cPDZU36mWT7PNz9YEfJ4+BBpYEIEpQCFJKGJDxeeE9IYDZIeaFAjJIow8fG4lL4yE4lhAA</t>
  </si>
  <si>
    <t>https://www.falstad.com/circuit/circuitjs.html?ctz=CQAgjCAMB0l3BWcMBMcUHYMGZIA4UA2ATmIxAUgoqoQFMBaMMAKAEMQUFCRs8AWXth59BxXhH7RyYePHDQUuSBjAIMebMWzrISMIuzI5LAEqduvQnk4pBwm1Sr8qEVEafQELAE4h+hIII-IIBgoT4UODKLADm-oEgETZhSXZRkCwOCfYCFCg2ohksYBihiSEpcBRgKOCcclBeIKZ0AM4Alm0ALmwAdgDGdCwA7v7V-HhURZNOLABG0TwFIoQQCJaZAB7ghOTYXLwoEAcpnIIAcnSxbN0dAG50ADptAEIArgMA1qM5vHnYYT-QSZMZcHguKjg-KOX6pSp-Iqgv4IAoo2pQOGJVEpbEhTFjGZTYEwgkknEWHgU5FFCmpaksIA</t>
  </si>
  <si>
    <t>CFF (Must be less than)</t>
  </si>
  <si>
    <t>IL/2 (A)</t>
  </si>
  <si>
    <t>Result (H)</t>
  </si>
  <si>
    <t>VD (V)</t>
  </si>
  <si>
    <t>DO NOT REFERNCE - REFER TO LM5088-1</t>
  </si>
  <si>
    <t>Fsw (Hz)</t>
  </si>
  <si>
    <t>Time (ns)</t>
  </si>
  <si>
    <t>Capacitence (pF)</t>
  </si>
  <si>
    <t>Result  (ohms)</t>
  </si>
  <si>
    <t>Result (kilo ohms)</t>
  </si>
  <si>
    <t xml:space="preserve">Inductance </t>
  </si>
  <si>
    <t>VIN(max) (V)</t>
  </si>
  <si>
    <t>IPP (A) - Max ripple I</t>
  </si>
  <si>
    <t>Rs - Current Sense Resistor</t>
  </si>
  <si>
    <t>RRT - Timing Resistor</t>
  </si>
  <si>
    <t>IPP</t>
  </si>
  <si>
    <t>VCS (V)</t>
  </si>
  <si>
    <t>Margin (Unitless)</t>
  </si>
  <si>
    <t>Result (milli ohm)</t>
  </si>
  <si>
    <t>CRAMP - Ramp Capacitor</t>
  </si>
  <si>
    <t>gm (µA/V)</t>
  </si>
  <si>
    <t>Inductance (µH)</t>
  </si>
  <si>
    <t>Result (µH)</t>
  </si>
  <si>
    <t>L (µH)</t>
  </si>
  <si>
    <t>Rs (milli ohm)</t>
  </si>
  <si>
    <t>A (V/V)</t>
  </si>
  <si>
    <t>Result (pF) (Webench)</t>
  </si>
  <si>
    <t>Result (F) (Webench)</t>
  </si>
  <si>
    <t>Result (pF) (Calculation)</t>
  </si>
  <si>
    <t>Result (F) (Calculation)</t>
  </si>
  <si>
    <t>RRAMP</t>
  </si>
  <si>
    <t>VVCC (V)</t>
  </si>
  <si>
    <t>VRAMP (V)</t>
  </si>
  <si>
    <t>IOS (A)</t>
  </si>
  <si>
    <t>Result (ohms)</t>
  </si>
  <si>
    <t>Result (10^-5 H)</t>
  </si>
  <si>
    <t>V</t>
  </si>
  <si>
    <t>CO (Stored Energy  of Inductor and Output Capacitor</t>
  </si>
  <si>
    <t xml:space="preserve">Input 'VIN Ripple Voltage </t>
  </si>
  <si>
    <t>CIN (nF)</t>
  </si>
  <si>
    <t xml:space="preserve">Boostrap Capacitor </t>
  </si>
  <si>
    <t>Qg (nC)</t>
  </si>
  <si>
    <t>Result (CHB &gt;) (uF)</t>
  </si>
  <si>
    <t xml:space="preserve">Softstart Capacitor </t>
  </si>
  <si>
    <t>Tss (ms)</t>
  </si>
  <si>
    <t>Current (uA)</t>
  </si>
  <si>
    <t>Output Voltage Divider</t>
  </si>
  <si>
    <t>Result (kilo ohm)</t>
  </si>
  <si>
    <t>RFB1 (kilo ohm)</t>
  </si>
  <si>
    <t>RFB2 (kilo ohm)</t>
  </si>
  <si>
    <t xml:space="preserve">Unkown </t>
  </si>
  <si>
    <t>Result (kilo ohm) - For RFB2</t>
  </si>
  <si>
    <t>UVLO Divider</t>
  </si>
  <si>
    <t>VIN(min)</t>
  </si>
  <si>
    <t>VHB (V)</t>
  </si>
  <si>
    <t>VSTANDBY (V)</t>
  </si>
  <si>
    <t>RUV2 (kilo ohm)</t>
  </si>
  <si>
    <t>Result RUV1 (kilo ohm)</t>
  </si>
  <si>
    <t>Result RUV1 (ohm)</t>
  </si>
  <si>
    <t>Conduction Loss (MOSFET)</t>
  </si>
  <si>
    <t xml:space="preserve">D </t>
  </si>
  <si>
    <t>RDS(ON)</t>
  </si>
  <si>
    <t>Result (W)</t>
  </si>
  <si>
    <t>Result (mW)</t>
  </si>
  <si>
    <t>Switching Loss (MOSFET)</t>
  </si>
  <si>
    <t>tr (ns)</t>
  </si>
  <si>
    <t>tf (ns)</t>
  </si>
  <si>
    <t>Gate Charge Loss (MOSFET)</t>
  </si>
  <si>
    <t>VCC (V)</t>
  </si>
  <si>
    <t>Qg</t>
  </si>
  <si>
    <t>Conduction Loss (DIODE)</t>
  </si>
  <si>
    <t>VF (V)</t>
  </si>
  <si>
    <t>Power Dissipation (Snubber Resistor)</t>
  </si>
  <si>
    <t>CSNUB</t>
  </si>
  <si>
    <t>VIN(max)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</si>
</sst>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/>
    <xf numFmtId="9" fontId="1" fillId="3" borderId="1" xfId="0" applyNumberFormat="1" applyFont="1" applyFill="1" applyBorder="1" applyAlignment="1">
      <alignment horizontal="left"/>
    </xf>
    <xf numFmtId="0" fontId="1" fillId="0" borderId="1" xfId="0" applyFont="1" applyBorder="1"/>
    <xf numFmtId="0" fontId="0" fillId="2" borderId="3" xfId="0" applyFill="1" applyBorder="1"/>
    <xf numFmtId="0" fontId="0" fillId="0" borderId="4" xfId="0" applyBorder="1"/>
    <xf numFmtId="0" fontId="1" fillId="3" borderId="5" xfId="0" applyFont="1" applyFill="1" applyBorder="1"/>
    <xf numFmtId="16" fontId="0" fillId="0" borderId="0" xfId="0" applyNumberFormat="1"/>
    <xf numFmtId="0" fontId="0" fillId="2" borderId="0" xfId="0" applyFill="1"/>
    <xf numFmtId="0" fontId="1" fillId="3" borderId="0" xfId="0" applyFont="1" applyFill="1"/>
    <xf numFmtId="0" fontId="1" fillId="3" borderId="1" xfId="0" applyFont="1" applyFill="1" applyBorder="1" applyAlignment="1">
      <alignment horizontal="right"/>
    </xf>
    <xf numFmtId="0" fontId="1" fillId="4" borderId="1" xfId="0" applyFont="1" applyFill="1" applyBorder="1"/>
    <xf numFmtId="0" fontId="2" fillId="3" borderId="1" xfId="1" applyFill="1" applyBorder="1" applyAlignment="1">
      <alignment wrapText="1"/>
    </xf>
    <xf numFmtId="0" fontId="3" fillId="4" borderId="1" xfId="1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3" borderId="3" xfId="0" applyFont="1" applyFill="1" applyBorder="1"/>
    <xf numFmtId="0" fontId="1" fillId="3" borderId="1" xfId="0" quotePrefix="1" applyFont="1" applyFill="1" applyBorder="1"/>
    <xf numFmtId="0" fontId="1" fillId="3" borderId="1" xfId="0" quotePrefix="1" applyFont="1" applyFill="1" applyBorder="1" applyAlignment="1">
      <alignment horizontal="right"/>
    </xf>
    <xf numFmtId="0" fontId="1" fillId="3" borderId="1" xfId="0" quotePrefix="1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alstad.com/circuit/circuitjs.html?ctz=CQAgjCAMB0l3BWcMBMcUHYMGZIA4UA2ATmIxAUgoqoQFMBaMMAKAEMQUFCRs8AWXth59BxXhH7RyYePHDQUuSBjAIMebMWzrISMIuzI5LAEqduvQnk4pBwm1Sr8qEVEafQELAE4h+hIII-IIBgoT4UODKLADm-oEgETZhSXZRkCwOCfYCFCg2ohksYBihiSEpcBRgKOCcclBeIKZ0AM4Alm0ALmwAdgDGdCwA7v7V-HhURZNOLABG0TwFIoQQCJaZAB7ghOTYXLwoEAcpnIIAcnSxbN0dAG50ADptAEIArgMA1qM5vHnYYT-QSZMZcHguKjg-KOX6pSp-Iqgv4IAoo2pQOGJVEpbEhTFjGZTYEwgkknEWHgU5FFCmpaksIA" TargetMode="External"/><Relationship Id="rId1" Type="http://schemas.openxmlformats.org/officeDocument/2006/relationships/hyperlink" Target="https://www.falstad.com/circuit/circuitjs.html?ctz=CQAgjCAMB0l3BWcMBMcUHYMGZIA4UA2ATmIxAUgoqoQFMBaMMAKAEMQUFCRs8AWXth59BxXhH7RyYePHCx4hAcRT9CCAnhnI5LAEqduvZZzUm8UK-yoQq96AhYAnEOsEJ+g9yEL4rsvAsAOZuhIJ+lj6E5vYswlHhvAIUKJaiVpAsYBjeSV5RcBRgKOCccg5I+nQAzgCWNQAubAB2AMZ0LADubkX8eFQZ-XEARuDCnHgihBAIxlkAHuCE5NhcEhBrUZyCAAoA9vWNdQBudAA6NQBCAK5tANbdYYIZ2BMZWT1cPDZU36mWT7PNz9YEfJ4+BBpYEIEpQCFJKGJDxeeE9IYDZIeaFAjJIow8fG4lL4yE4lh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B4628-5DBA-4DFD-869B-107D80861264}">
  <dimension ref="A1:H24"/>
  <sheetViews>
    <sheetView workbookViewId="0">
      <selection activeCell="E7" sqref="E7"/>
    </sheetView>
  </sheetViews>
  <sheetFormatPr defaultRowHeight="15" x14ac:dyDescent="0.25"/>
  <cols>
    <col min="1" max="1" width="19" customWidth="1"/>
    <col min="2" max="2" width="12" bestFit="1" customWidth="1"/>
    <col min="4" max="4" width="16.28515625" customWidth="1"/>
    <col min="5" max="5" width="12" bestFit="1" customWidth="1"/>
    <col min="7" max="7" width="16.42578125" customWidth="1"/>
    <col min="8" max="8" width="12" bestFit="1" customWidth="1"/>
    <col min="10" max="10" width="12" bestFit="1" customWidth="1"/>
    <col min="11" max="11" width="13" customWidth="1"/>
    <col min="13" max="13" width="12" bestFit="1" customWidth="1"/>
  </cols>
  <sheetData>
    <row r="1" spans="1:8" x14ac:dyDescent="0.25">
      <c r="A1" s="21" t="s">
        <v>0</v>
      </c>
      <c r="B1" s="22"/>
      <c r="C1" s="2"/>
      <c r="D1" s="21" t="s">
        <v>7</v>
      </c>
      <c r="E1" s="22"/>
      <c r="F1" s="2"/>
      <c r="G1" s="21" t="s">
        <v>12</v>
      </c>
      <c r="H1" s="22"/>
    </row>
    <row r="2" spans="1:8" x14ac:dyDescent="0.25">
      <c r="A2" s="3" t="s">
        <v>1</v>
      </c>
      <c r="B2" s="3">
        <v>20</v>
      </c>
      <c r="C2" s="2"/>
      <c r="D2" s="3" t="s">
        <v>10</v>
      </c>
      <c r="E2" s="3">
        <f>400*10^3</f>
        <v>400000</v>
      </c>
      <c r="F2" s="2"/>
      <c r="G2" s="3" t="s">
        <v>37</v>
      </c>
      <c r="H2" s="3">
        <v>1</v>
      </c>
    </row>
    <row r="3" spans="1:8" x14ac:dyDescent="0.25">
      <c r="A3" s="3" t="s">
        <v>2</v>
      </c>
      <c r="B3" s="3">
        <v>25</v>
      </c>
      <c r="C3" s="2"/>
      <c r="D3" s="3" t="s">
        <v>11</v>
      </c>
      <c r="E3" s="3">
        <f>H16</f>
        <v>33.333333333333336</v>
      </c>
      <c r="F3" s="2"/>
      <c r="G3" s="4">
        <v>0.3</v>
      </c>
      <c r="H3" s="3">
        <v>0.3</v>
      </c>
    </row>
    <row r="4" spans="1:8" x14ac:dyDescent="0.25">
      <c r="A4" s="3" t="s">
        <v>3</v>
      </c>
      <c r="B4" s="3">
        <v>0.9</v>
      </c>
      <c r="C4" s="2"/>
      <c r="D4" s="3" t="s">
        <v>2</v>
      </c>
      <c r="E4" s="3">
        <v>25</v>
      </c>
      <c r="F4" s="2"/>
      <c r="G4" s="3" t="s">
        <v>8</v>
      </c>
      <c r="H4" s="3">
        <f>H2*H3</f>
        <v>0.3</v>
      </c>
    </row>
    <row r="5" spans="1:8" x14ac:dyDescent="0.25">
      <c r="A5" s="3" t="s">
        <v>4</v>
      </c>
      <c r="B5" s="3">
        <f>((B2))/((B3*B4))</f>
        <v>0.88888888888888884</v>
      </c>
      <c r="C5" s="2"/>
      <c r="D5" s="3" t="s">
        <v>8</v>
      </c>
      <c r="E5" s="3">
        <f>((B3-B2)*(B5))/((E2*E3*10^-6))</f>
        <v>0.33333333333333331</v>
      </c>
      <c r="F5" s="2"/>
      <c r="G5" s="5"/>
      <c r="H5" s="5"/>
    </row>
    <row r="6" spans="1:8" x14ac:dyDescent="0.25">
      <c r="A6" s="3" t="s">
        <v>5</v>
      </c>
      <c r="B6" s="3">
        <f>B5*100</f>
        <v>88.888888888888886</v>
      </c>
      <c r="C6" s="2"/>
      <c r="D6" s="5"/>
      <c r="E6" s="5"/>
      <c r="F6" s="2"/>
      <c r="G6" s="5"/>
      <c r="H6" s="5"/>
    </row>
    <row r="7" spans="1:8" x14ac:dyDescent="0.25">
      <c r="A7" s="1"/>
      <c r="B7" s="1"/>
      <c r="C7" s="2"/>
      <c r="D7" s="1"/>
      <c r="E7" s="1"/>
      <c r="F7" s="2"/>
      <c r="G7" s="1"/>
      <c r="H7" s="1"/>
    </row>
    <row r="8" spans="1:8" x14ac:dyDescent="0.25">
      <c r="A8" s="1"/>
      <c r="B8" s="1"/>
      <c r="C8" s="2"/>
      <c r="D8" s="1"/>
      <c r="E8" s="1"/>
      <c r="F8" s="2"/>
      <c r="G8" s="1"/>
      <c r="H8" s="1"/>
    </row>
    <row r="9" spans="1:8" x14ac:dyDescent="0.25">
      <c r="A9" s="21" t="s">
        <v>24</v>
      </c>
      <c r="B9" s="22"/>
      <c r="C9" s="2"/>
      <c r="D9" s="21" t="s">
        <v>27</v>
      </c>
      <c r="E9" s="22"/>
      <c r="F9" s="2"/>
      <c r="G9" s="21" t="s">
        <v>39</v>
      </c>
      <c r="H9" s="22"/>
    </row>
    <row r="10" spans="1:8" x14ac:dyDescent="0.25">
      <c r="A10" s="3" t="s">
        <v>26</v>
      </c>
      <c r="B10" s="3">
        <v>3.9</v>
      </c>
      <c r="C10" s="2"/>
      <c r="D10" s="3" t="s">
        <v>102</v>
      </c>
      <c r="E10" s="3">
        <f>E5/2</f>
        <v>0.16666666666666666</v>
      </c>
      <c r="F10" s="2"/>
      <c r="G10" s="3" t="s">
        <v>38</v>
      </c>
      <c r="H10" s="3">
        <f>400*10^3</f>
        <v>400000</v>
      </c>
    </row>
    <row r="11" spans="1:8" x14ac:dyDescent="0.25">
      <c r="A11" s="3" t="s">
        <v>25</v>
      </c>
      <c r="B11" s="3">
        <f>(B10)-(E5/2)</f>
        <v>3.7333333333333334</v>
      </c>
      <c r="C11" s="2"/>
      <c r="D11" s="3" t="s">
        <v>42</v>
      </c>
      <c r="E11" s="3">
        <v>1</v>
      </c>
      <c r="F11" s="2"/>
      <c r="G11" s="3" t="s">
        <v>45</v>
      </c>
      <c r="H11" s="3">
        <v>1</v>
      </c>
    </row>
    <row r="12" spans="1:8" x14ac:dyDescent="0.25">
      <c r="A12" s="3"/>
      <c r="B12" s="3"/>
      <c r="C12" s="2"/>
      <c r="D12" s="3" t="s">
        <v>43</v>
      </c>
      <c r="E12" s="3">
        <f>E11+E10</f>
        <v>1.1666666666666667</v>
      </c>
      <c r="F12" s="2"/>
      <c r="G12" s="3" t="s">
        <v>29</v>
      </c>
      <c r="H12" s="3">
        <v>20</v>
      </c>
    </row>
    <row r="13" spans="1:8" x14ac:dyDescent="0.25">
      <c r="A13" s="3"/>
      <c r="B13" s="3"/>
      <c r="C13" s="2"/>
      <c r="D13" s="5"/>
      <c r="E13" s="5"/>
      <c r="F13" s="2"/>
      <c r="G13" s="3" t="s">
        <v>35</v>
      </c>
      <c r="H13" s="3">
        <v>25</v>
      </c>
    </row>
    <row r="14" spans="1:8" x14ac:dyDescent="0.25">
      <c r="A14" s="3"/>
      <c r="B14" s="3"/>
      <c r="C14" s="2"/>
      <c r="D14" s="5"/>
      <c r="E14" s="5"/>
      <c r="F14" s="2"/>
      <c r="G14" s="3" t="s">
        <v>46</v>
      </c>
      <c r="H14" s="3">
        <v>0.3</v>
      </c>
    </row>
    <row r="15" spans="1:8" x14ac:dyDescent="0.25">
      <c r="A15" s="7"/>
      <c r="B15" s="7"/>
      <c r="C15" s="2"/>
      <c r="D15" s="1"/>
      <c r="E15" s="1"/>
      <c r="F15" s="2"/>
      <c r="G15" s="3" t="s">
        <v>103</v>
      </c>
      <c r="H15" s="3">
        <f>((H12)*((H13-H12))/((H14*H10*H13)))</f>
        <v>3.3333333333333335E-5</v>
      </c>
    </row>
    <row r="16" spans="1:8" x14ac:dyDescent="0.25">
      <c r="A16" s="21" t="s">
        <v>101</v>
      </c>
      <c r="B16" s="22"/>
      <c r="C16" s="6"/>
      <c r="D16" s="5" t="s">
        <v>44</v>
      </c>
      <c r="E16" s="5"/>
      <c r="F16" s="2"/>
      <c r="G16" s="3" t="s">
        <v>13</v>
      </c>
      <c r="H16" s="3">
        <f>H15*10^6</f>
        <v>33.333333333333336</v>
      </c>
    </row>
    <row r="17" spans="1:8" x14ac:dyDescent="0.25">
      <c r="A17" s="3" t="s">
        <v>29</v>
      </c>
      <c r="B17" s="3">
        <v>20</v>
      </c>
      <c r="C17" s="6"/>
      <c r="D17" s="5" t="s">
        <v>8</v>
      </c>
      <c r="E17" s="5">
        <f>(E2)*(E6)-((E13)/((2*E10*E11*10^-6)))*(E12)</f>
        <v>0</v>
      </c>
      <c r="F17" s="2"/>
      <c r="G17" s="1"/>
      <c r="H17" s="1"/>
    </row>
    <row r="18" spans="1:8" x14ac:dyDescent="0.25">
      <c r="A18" s="8" t="s">
        <v>21</v>
      </c>
      <c r="B18" s="8">
        <v>200</v>
      </c>
      <c r="C18" s="2"/>
      <c r="D18" s="1"/>
      <c r="E18" s="1"/>
      <c r="F18" s="2"/>
      <c r="G18" s="1"/>
      <c r="H18" s="1"/>
    </row>
    <row r="19" spans="1:8" x14ac:dyDescent="0.25">
      <c r="A19" s="3" t="s">
        <v>30</v>
      </c>
      <c r="B19" s="3">
        <v>1</v>
      </c>
      <c r="C19" s="2"/>
      <c r="D19" s="1"/>
      <c r="E19" s="1"/>
      <c r="F19" s="2"/>
      <c r="G19" s="1"/>
      <c r="H19" s="1"/>
    </row>
    <row r="20" spans="1:8" x14ac:dyDescent="0.25">
      <c r="A20" s="3" t="s">
        <v>22</v>
      </c>
      <c r="B20" s="3">
        <f>88*10^-6</f>
        <v>8.7999999999999998E-5</v>
      </c>
      <c r="C20" s="2"/>
      <c r="D20" s="1"/>
      <c r="E20" s="1"/>
      <c r="F20" s="2"/>
      <c r="G20" s="1"/>
      <c r="H20" s="1"/>
    </row>
    <row r="21" spans="1:8" x14ac:dyDescent="0.25">
      <c r="A21" s="3" t="s">
        <v>4</v>
      </c>
      <c r="B21" s="3">
        <f>(B17*B20)/(120*(B18)*(SQRT(B19/B17)))</f>
        <v>3.2795663669996913E-7</v>
      </c>
      <c r="C21" s="2"/>
      <c r="D21" s="1"/>
      <c r="E21" s="1"/>
      <c r="F21" s="2"/>
      <c r="G21" s="1"/>
      <c r="H21" s="1"/>
    </row>
    <row r="22" spans="1:8" x14ac:dyDescent="0.25">
      <c r="A22" s="1"/>
      <c r="B22" s="1"/>
      <c r="C22" s="2"/>
      <c r="D22" s="1"/>
      <c r="E22" s="1"/>
      <c r="F22" s="2"/>
      <c r="G22" s="1"/>
      <c r="H22" s="1"/>
    </row>
    <row r="23" spans="1:8" x14ac:dyDescent="0.25">
      <c r="A23" s="1"/>
      <c r="B23" s="1"/>
      <c r="C23" s="2"/>
      <c r="D23" s="1"/>
      <c r="E23" s="1"/>
      <c r="F23" s="2"/>
      <c r="G23" s="1"/>
      <c r="H23" s="1"/>
    </row>
    <row r="24" spans="1:8" x14ac:dyDescent="0.25">
      <c r="A24" s="1"/>
      <c r="B24" s="1"/>
      <c r="C24" s="2"/>
      <c r="D24" s="1"/>
      <c r="E24" s="1"/>
      <c r="F24" s="2"/>
      <c r="G24" s="1"/>
      <c r="H24" s="1"/>
    </row>
  </sheetData>
  <mergeCells count="7">
    <mergeCell ref="A16:B16"/>
    <mergeCell ref="A1:B1"/>
    <mergeCell ref="D1:E1"/>
    <mergeCell ref="G1:H1"/>
    <mergeCell ref="A9:B9"/>
    <mergeCell ref="D9:E9"/>
    <mergeCell ref="G9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A9DA6-D8D2-49DB-87FB-FEF1A5FD8C2C}">
  <dimension ref="A1:J24"/>
  <sheetViews>
    <sheetView workbookViewId="0">
      <selection activeCell="D8" sqref="D8"/>
    </sheetView>
  </sheetViews>
  <sheetFormatPr defaultRowHeight="15" x14ac:dyDescent="0.25"/>
  <cols>
    <col min="1" max="1" width="19" customWidth="1"/>
    <col min="2" max="2" width="12" bestFit="1" customWidth="1"/>
    <col min="4" max="4" width="35.28515625" customWidth="1"/>
    <col min="7" max="7" width="16.42578125" customWidth="1"/>
    <col min="11" max="11" width="13" customWidth="1"/>
  </cols>
  <sheetData>
    <row r="1" spans="1:10" x14ac:dyDescent="0.25">
      <c r="A1" s="21" t="s">
        <v>0</v>
      </c>
      <c r="B1" s="22"/>
      <c r="C1" s="2"/>
      <c r="D1" s="21" t="s">
        <v>64</v>
      </c>
      <c r="E1" s="22"/>
      <c r="F1" s="2"/>
      <c r="G1" s="21" t="s">
        <v>12</v>
      </c>
      <c r="H1" s="22"/>
    </row>
    <row r="2" spans="1:10" x14ac:dyDescent="0.25">
      <c r="A2" s="3" t="s">
        <v>29</v>
      </c>
      <c r="B2" s="3">
        <v>-20</v>
      </c>
      <c r="C2" s="2"/>
      <c r="D2" s="3" t="s">
        <v>37</v>
      </c>
      <c r="E2" s="3">
        <v>1</v>
      </c>
      <c r="F2" s="2"/>
      <c r="G2" s="3" t="s">
        <v>37</v>
      </c>
      <c r="H2" s="3">
        <v>1</v>
      </c>
    </row>
    <row r="3" spans="1:10" x14ac:dyDescent="0.25">
      <c r="A3" s="3" t="s">
        <v>35</v>
      </c>
      <c r="B3" s="3">
        <v>25</v>
      </c>
      <c r="C3" s="2"/>
      <c r="D3" s="3" t="s">
        <v>36</v>
      </c>
      <c r="E3" s="3">
        <f>ABS(-20)</f>
        <v>20</v>
      </c>
      <c r="F3" s="2"/>
      <c r="G3" s="4">
        <v>0.3</v>
      </c>
      <c r="H3" s="3">
        <v>0.3</v>
      </c>
    </row>
    <row r="4" spans="1:10" x14ac:dyDescent="0.25">
      <c r="A4" s="3" t="s">
        <v>3</v>
      </c>
      <c r="B4" s="3">
        <v>0.85</v>
      </c>
      <c r="C4" s="2"/>
      <c r="D4" s="3" t="s">
        <v>35</v>
      </c>
      <c r="E4" s="3">
        <v>25</v>
      </c>
      <c r="F4" s="2"/>
      <c r="G4" s="3" t="s">
        <v>4</v>
      </c>
      <c r="H4" s="3">
        <f>H2*H3</f>
        <v>0.3</v>
      </c>
    </row>
    <row r="5" spans="1:10" x14ac:dyDescent="0.25">
      <c r="A5" s="3" t="s">
        <v>4</v>
      </c>
      <c r="B5" s="3">
        <f>((ABS(B2))/((ABS(B2)+(B4*B3))))</f>
        <v>0.48484848484848486</v>
      </c>
      <c r="C5" s="2"/>
      <c r="D5" s="3" t="s">
        <v>3</v>
      </c>
      <c r="E5" s="3">
        <v>0.85</v>
      </c>
      <c r="F5" s="2"/>
      <c r="G5" s="5"/>
      <c r="H5" s="5"/>
    </row>
    <row r="6" spans="1:10" x14ac:dyDescent="0.25">
      <c r="A6" s="3" t="s">
        <v>5</v>
      </c>
      <c r="B6" s="3">
        <f>B5*100</f>
        <v>48.484848484848484</v>
      </c>
      <c r="C6" s="2"/>
      <c r="D6" s="3" t="s">
        <v>8</v>
      </c>
      <c r="E6" s="3">
        <f>(E2)+((E3)/(E4*E5))</f>
        <v>1.9411764705882353</v>
      </c>
      <c r="F6" s="2"/>
      <c r="G6" s="5"/>
      <c r="H6" s="5"/>
    </row>
    <row r="7" spans="1:10" x14ac:dyDescent="0.25">
      <c r="A7" s="1"/>
      <c r="B7" s="1"/>
      <c r="C7" s="2"/>
      <c r="D7" s="1"/>
      <c r="E7" s="1"/>
      <c r="F7" s="2"/>
      <c r="G7" s="1"/>
      <c r="H7" s="1"/>
    </row>
    <row r="8" spans="1:10" x14ac:dyDescent="0.25">
      <c r="A8" s="1"/>
      <c r="B8" s="1"/>
      <c r="C8" s="2"/>
      <c r="D8" s="1" t="s">
        <v>105</v>
      </c>
      <c r="E8" s="1"/>
      <c r="F8" s="2"/>
      <c r="G8" s="1"/>
      <c r="H8" s="1"/>
    </row>
    <row r="9" spans="1:10" x14ac:dyDescent="0.25">
      <c r="A9" s="21" t="s">
        <v>6</v>
      </c>
      <c r="B9" s="22"/>
      <c r="C9" s="2"/>
      <c r="D9" s="21" t="s">
        <v>9</v>
      </c>
      <c r="E9" s="22"/>
      <c r="F9" s="2"/>
      <c r="G9" s="21" t="s">
        <v>11</v>
      </c>
      <c r="H9" s="22"/>
    </row>
    <row r="10" spans="1:10" x14ac:dyDescent="0.25">
      <c r="A10" s="3" t="s">
        <v>37</v>
      </c>
      <c r="B10" s="3">
        <v>1</v>
      </c>
      <c r="C10" s="2"/>
      <c r="D10" s="3" t="s">
        <v>38</v>
      </c>
      <c r="E10" s="3">
        <f>400*10^3</f>
        <v>400000</v>
      </c>
      <c r="F10" s="2"/>
      <c r="G10" s="3" t="s">
        <v>38</v>
      </c>
      <c r="H10" s="3">
        <f>400*10^3</f>
        <v>400000</v>
      </c>
    </row>
    <row r="11" spans="1:10" x14ac:dyDescent="0.25">
      <c r="A11" s="3" t="s">
        <v>36</v>
      </c>
      <c r="B11" s="3">
        <f>ABS(-20)</f>
        <v>20</v>
      </c>
      <c r="C11" s="2"/>
      <c r="D11" s="3" t="s">
        <v>39</v>
      </c>
      <c r="E11" s="3">
        <f>H16</f>
        <v>101.01010101010102</v>
      </c>
      <c r="F11" s="2"/>
      <c r="G11" s="3" t="s">
        <v>40</v>
      </c>
      <c r="H11" s="3">
        <f>H4</f>
        <v>0.3</v>
      </c>
    </row>
    <row r="12" spans="1:10" x14ac:dyDescent="0.25">
      <c r="A12" s="3" t="s">
        <v>35</v>
      </c>
      <c r="B12" s="3">
        <v>25</v>
      </c>
      <c r="C12" s="2"/>
      <c r="D12" s="3" t="s">
        <v>14</v>
      </c>
      <c r="E12" s="3">
        <f>B5</f>
        <v>0.48484848484848486</v>
      </c>
      <c r="F12" s="2"/>
      <c r="G12" s="3" t="s">
        <v>36</v>
      </c>
      <c r="H12" s="3">
        <f>ABS(-20)</f>
        <v>20</v>
      </c>
      <c r="J12" s="9"/>
    </row>
    <row r="13" spans="1:10" x14ac:dyDescent="0.25">
      <c r="A13" s="3" t="s">
        <v>3</v>
      </c>
      <c r="B13" s="3">
        <v>0.85</v>
      </c>
      <c r="C13" s="2"/>
      <c r="D13" s="3" t="s">
        <v>35</v>
      </c>
      <c r="E13" s="3">
        <v>25</v>
      </c>
      <c r="F13" s="2"/>
      <c r="G13" s="3" t="s">
        <v>35</v>
      </c>
      <c r="H13" s="3">
        <v>25</v>
      </c>
    </row>
    <row r="14" spans="1:10" x14ac:dyDescent="0.25">
      <c r="A14" s="3" t="s">
        <v>8</v>
      </c>
      <c r="B14" s="3">
        <f>(B10)*(B11)/(B12*B13)</f>
        <v>0.94117647058823528</v>
      </c>
      <c r="C14" s="2"/>
      <c r="D14" s="3" t="s">
        <v>8</v>
      </c>
      <c r="E14" s="3">
        <f>(E6)+((E13)/((2*E10*E11*10^-6)))*(E12)</f>
        <v>2.0911764705882354</v>
      </c>
      <c r="F14" s="2"/>
      <c r="G14" s="3" t="s">
        <v>3</v>
      </c>
      <c r="H14" s="3">
        <v>0.85</v>
      </c>
    </row>
    <row r="15" spans="1:10" x14ac:dyDescent="0.25">
      <c r="A15" s="7"/>
      <c r="B15" s="7"/>
      <c r="C15" s="2"/>
      <c r="D15" s="1"/>
      <c r="E15" s="1"/>
      <c r="F15" s="2"/>
      <c r="G15" s="3" t="s">
        <v>4</v>
      </c>
      <c r="H15" s="3">
        <f>((H13)/((H10*H11)))*((H12)/((H13*H14+H12)))</f>
        <v>1.0101010101010102E-4</v>
      </c>
    </row>
    <row r="16" spans="1:10" x14ac:dyDescent="0.25">
      <c r="A16" s="21" t="s">
        <v>20</v>
      </c>
      <c r="B16" s="22"/>
      <c r="C16" s="6"/>
      <c r="D16" s="3" t="s">
        <v>15</v>
      </c>
      <c r="E16" s="3"/>
      <c r="F16" s="2"/>
      <c r="G16" s="3" t="s">
        <v>13</v>
      </c>
      <c r="H16" s="3">
        <f>H15*10^6</f>
        <v>101.01010101010102</v>
      </c>
    </row>
    <row r="17" spans="1:10" x14ac:dyDescent="0.25">
      <c r="A17" s="3" t="s">
        <v>29</v>
      </c>
      <c r="B17" s="3">
        <v>20</v>
      </c>
      <c r="C17" s="6"/>
      <c r="D17" s="3" t="s">
        <v>8</v>
      </c>
      <c r="E17" s="3">
        <f>(E2)*(E6)-((E13)/((2*E10*E11*10^-6)))*(E12)</f>
        <v>1.7911764705882354</v>
      </c>
      <c r="F17" s="2"/>
      <c r="G17" s="1"/>
      <c r="H17" s="1"/>
    </row>
    <row r="18" spans="1:10" x14ac:dyDescent="0.25">
      <c r="A18" s="8" t="s">
        <v>21</v>
      </c>
      <c r="B18" s="8">
        <v>200</v>
      </c>
      <c r="C18" s="2"/>
      <c r="D18" s="1"/>
      <c r="E18" s="1"/>
      <c r="F18" s="2"/>
      <c r="G18" s="1"/>
      <c r="H18" s="1"/>
      <c r="J18" t="s">
        <v>16</v>
      </c>
    </row>
    <row r="19" spans="1:10" x14ac:dyDescent="0.25">
      <c r="A19" s="3" t="s">
        <v>30</v>
      </c>
      <c r="B19" s="3">
        <v>1</v>
      </c>
      <c r="C19" s="2"/>
      <c r="D19" s="1"/>
      <c r="E19" s="1"/>
      <c r="F19" s="2"/>
      <c r="G19" s="1"/>
      <c r="H19" s="1"/>
    </row>
    <row r="20" spans="1:10" x14ac:dyDescent="0.25">
      <c r="A20" s="3" t="s">
        <v>22</v>
      </c>
      <c r="B20" s="3">
        <f>88*10^-6</f>
        <v>8.7999999999999998E-5</v>
      </c>
      <c r="C20" s="2"/>
      <c r="D20" s="1"/>
      <c r="E20" s="1"/>
      <c r="F20" s="2"/>
      <c r="G20" s="1"/>
      <c r="H20" s="1"/>
    </row>
    <row r="21" spans="1:10" x14ac:dyDescent="0.25">
      <c r="A21" s="3" t="s">
        <v>41</v>
      </c>
      <c r="B21" s="3">
        <f>(B17*B20)/(120*(B18)*(SQRT(B19/B17)))</f>
        <v>3.2795663669996913E-7</v>
      </c>
      <c r="C21" s="2"/>
      <c r="D21" s="1"/>
      <c r="E21" s="1"/>
      <c r="F21" s="2"/>
      <c r="G21" s="1"/>
      <c r="H21" s="1"/>
    </row>
    <row r="22" spans="1:10" x14ac:dyDescent="0.25">
      <c r="A22" s="1"/>
      <c r="B22" s="1"/>
      <c r="C22" s="2"/>
      <c r="D22" s="1"/>
      <c r="E22" s="1"/>
      <c r="F22" s="2"/>
      <c r="G22" s="1"/>
      <c r="H22" s="1"/>
    </row>
    <row r="23" spans="1:10" x14ac:dyDescent="0.25">
      <c r="A23" s="1"/>
      <c r="B23" s="1"/>
      <c r="C23" s="2"/>
      <c r="D23" s="1"/>
      <c r="E23" s="1"/>
      <c r="F23" s="2"/>
      <c r="G23" s="1"/>
      <c r="H23" s="1"/>
    </row>
    <row r="24" spans="1:10" x14ac:dyDescent="0.25">
      <c r="A24" s="1"/>
      <c r="B24" s="1"/>
      <c r="C24" s="2"/>
      <c r="D24" s="1"/>
      <c r="E24" s="1"/>
      <c r="F24" s="2"/>
      <c r="G24" s="1"/>
      <c r="H24" s="1"/>
    </row>
  </sheetData>
  <mergeCells count="7">
    <mergeCell ref="A16:B16"/>
    <mergeCell ref="A1:B1"/>
    <mergeCell ref="D1:E1"/>
    <mergeCell ref="G1:H1"/>
    <mergeCell ref="A9:B9"/>
    <mergeCell ref="D9:E9"/>
    <mergeCell ref="G9:H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64E0B-109B-48E8-ACB6-B0B4CA8F5C44}">
  <dimension ref="A1:J26"/>
  <sheetViews>
    <sheetView workbookViewId="0">
      <selection sqref="A1:XFD1048576"/>
    </sheetView>
  </sheetViews>
  <sheetFormatPr defaultRowHeight="15" x14ac:dyDescent="0.25"/>
  <cols>
    <col min="1" max="1" width="28.28515625" customWidth="1"/>
    <col min="2" max="2" width="12" bestFit="1" customWidth="1"/>
    <col min="4" max="4" width="41.5703125" customWidth="1"/>
    <col min="7" max="7" width="31.28515625" customWidth="1"/>
    <col min="11" max="11" width="13" customWidth="1"/>
  </cols>
  <sheetData>
    <row r="1" spans="1:10" x14ac:dyDescent="0.25">
      <c r="A1" s="21" t="s">
        <v>74</v>
      </c>
      <c r="B1" s="22"/>
      <c r="C1" s="2"/>
      <c r="D1" s="21" t="s">
        <v>64</v>
      </c>
      <c r="E1" s="22"/>
      <c r="F1" s="2"/>
      <c r="G1" s="21" t="s">
        <v>12</v>
      </c>
      <c r="H1" s="22"/>
    </row>
    <row r="2" spans="1:10" x14ac:dyDescent="0.25">
      <c r="A2" s="3" t="s">
        <v>29</v>
      </c>
      <c r="B2" s="3">
        <v>20</v>
      </c>
      <c r="C2" s="2"/>
      <c r="D2" s="3" t="s">
        <v>37</v>
      </c>
      <c r="E2" s="3">
        <v>1</v>
      </c>
      <c r="F2" s="2"/>
      <c r="G2" s="3" t="s">
        <v>37</v>
      </c>
      <c r="H2" s="3">
        <v>1</v>
      </c>
    </row>
    <row r="3" spans="1:10" x14ac:dyDescent="0.25">
      <c r="A3" s="3" t="s">
        <v>35</v>
      </c>
      <c r="B3" s="3">
        <v>25</v>
      </c>
      <c r="C3" s="2"/>
      <c r="D3" s="3" t="s">
        <v>36</v>
      </c>
      <c r="E3" s="3">
        <f>ABS(-20)</f>
        <v>20</v>
      </c>
      <c r="F3" s="2"/>
      <c r="G3" s="4">
        <v>0.3</v>
      </c>
      <c r="H3" s="3">
        <v>0.3</v>
      </c>
    </row>
    <row r="4" spans="1:10" x14ac:dyDescent="0.25">
      <c r="A4" s="3" t="s">
        <v>88</v>
      </c>
      <c r="B4" s="3">
        <v>1.1599999999999999</v>
      </c>
      <c r="C4" s="2"/>
      <c r="D4" s="3" t="s">
        <v>35</v>
      </c>
      <c r="E4" s="3">
        <v>25</v>
      </c>
      <c r="F4" s="2"/>
      <c r="G4" s="3" t="s">
        <v>8</v>
      </c>
      <c r="H4" s="3">
        <f>H2*H3</f>
        <v>0.3</v>
      </c>
    </row>
    <row r="5" spans="1:10" x14ac:dyDescent="0.25">
      <c r="A5" s="3" t="s">
        <v>104</v>
      </c>
      <c r="B5" s="3">
        <v>0.52</v>
      </c>
      <c r="C5" s="2"/>
      <c r="D5" s="3" t="s">
        <v>3</v>
      </c>
      <c r="E5" s="3">
        <v>0.73</v>
      </c>
      <c r="F5" s="2"/>
      <c r="G5" s="5"/>
      <c r="H5" s="5"/>
    </row>
    <row r="6" spans="1:10" x14ac:dyDescent="0.25">
      <c r="A6" s="3" t="s">
        <v>89</v>
      </c>
      <c r="B6" s="3">
        <f>150*10^3</f>
        <v>150000</v>
      </c>
      <c r="C6" s="2"/>
      <c r="D6" s="3" t="s">
        <v>8</v>
      </c>
      <c r="E6" s="3">
        <f>(E2)+((E3)/(E4*E5))</f>
        <v>2.095890410958904</v>
      </c>
      <c r="F6" s="2"/>
      <c r="G6" s="5"/>
      <c r="H6" s="5"/>
    </row>
    <row r="7" spans="1:10" x14ac:dyDescent="0.25">
      <c r="A7" s="3" t="s">
        <v>90</v>
      </c>
      <c r="B7" s="3">
        <f>((25-20-1.16))*((20+0.52)/(25-1.16+0.52))*((1000)/(150*10^3))</f>
        <v>2.1564532019704433E-2</v>
      </c>
      <c r="C7" s="2"/>
      <c r="D7" s="13"/>
      <c r="E7" s="13"/>
      <c r="F7" s="2"/>
      <c r="G7" s="5"/>
      <c r="H7" s="5"/>
    </row>
    <row r="8" spans="1:10" x14ac:dyDescent="0.25">
      <c r="A8" s="3" t="s">
        <v>91</v>
      </c>
      <c r="B8" s="3">
        <f>B7*10^3</f>
        <v>21.564532019704433</v>
      </c>
      <c r="C8" s="2"/>
      <c r="D8" s="1" t="s">
        <v>105</v>
      </c>
      <c r="E8" s="1"/>
      <c r="F8" s="2"/>
      <c r="G8" s="1"/>
      <c r="H8" s="1"/>
    </row>
    <row r="9" spans="1:10" x14ac:dyDescent="0.25">
      <c r="A9" s="3" t="s">
        <v>92</v>
      </c>
      <c r="B9" s="12" t="s">
        <v>93</v>
      </c>
      <c r="C9" s="2"/>
      <c r="D9" s="1"/>
      <c r="E9" s="1"/>
      <c r="F9" s="2"/>
      <c r="G9" s="1"/>
      <c r="H9" s="1"/>
    </row>
    <row r="10" spans="1:10" x14ac:dyDescent="0.25">
      <c r="A10" s="1"/>
      <c r="B10" s="1"/>
      <c r="C10" s="2"/>
      <c r="D10" s="1"/>
      <c r="E10" s="1"/>
      <c r="F10" s="2"/>
      <c r="G10" s="1"/>
      <c r="H10" s="1"/>
    </row>
    <row r="11" spans="1:10" x14ac:dyDescent="0.25">
      <c r="A11" s="21" t="s">
        <v>6</v>
      </c>
      <c r="B11" s="22"/>
      <c r="C11" s="2"/>
      <c r="D11" s="21" t="s">
        <v>9</v>
      </c>
      <c r="E11" s="22"/>
      <c r="F11" s="2"/>
      <c r="G11" s="21" t="s">
        <v>79</v>
      </c>
      <c r="H11" s="22"/>
    </row>
    <row r="12" spans="1:10" x14ac:dyDescent="0.25">
      <c r="A12" s="3" t="s">
        <v>37</v>
      </c>
      <c r="B12" s="3">
        <v>1</v>
      </c>
      <c r="C12" s="2"/>
      <c r="D12" s="3" t="s">
        <v>81</v>
      </c>
      <c r="E12" s="3">
        <v>1</v>
      </c>
      <c r="F12" s="2"/>
      <c r="G12" s="3" t="s">
        <v>85</v>
      </c>
      <c r="H12" s="3">
        <f>B19*B20</f>
        <v>6.4000000000000001E-2</v>
      </c>
    </row>
    <row r="13" spans="1:10" x14ac:dyDescent="0.25">
      <c r="A13" s="3" t="s">
        <v>36</v>
      </c>
      <c r="B13" s="3">
        <f>ABS(-20)</f>
        <v>20</v>
      </c>
      <c r="C13" s="2"/>
      <c r="D13" s="11" t="s">
        <v>80</v>
      </c>
      <c r="E13" s="3">
        <v>0.32</v>
      </c>
      <c r="F13" s="2"/>
      <c r="G13" s="3" t="s">
        <v>80</v>
      </c>
      <c r="H13" s="3">
        <v>0.32</v>
      </c>
    </row>
    <row r="14" spans="1:10" x14ac:dyDescent="0.25">
      <c r="A14" s="3" t="s">
        <v>35</v>
      </c>
      <c r="B14" s="3">
        <v>25</v>
      </c>
      <c r="C14" s="2"/>
      <c r="D14" s="3" t="s">
        <v>8</v>
      </c>
      <c r="E14" s="3">
        <f>((E12+(E13)/(2)))</f>
        <v>1.1599999999999999</v>
      </c>
      <c r="F14" s="2"/>
      <c r="G14" s="3" t="s">
        <v>86</v>
      </c>
      <c r="H14" s="3">
        <f>H12/H13</f>
        <v>0.2</v>
      </c>
      <c r="J14" s="9"/>
    </row>
    <row r="15" spans="1:10" x14ac:dyDescent="0.25">
      <c r="A15" s="3" t="s">
        <v>3</v>
      </c>
      <c r="B15" s="3">
        <v>0.73</v>
      </c>
      <c r="C15" s="2"/>
      <c r="D15" s="13"/>
      <c r="E15" s="13"/>
      <c r="F15" s="2"/>
      <c r="G15" s="3" t="s">
        <v>87</v>
      </c>
      <c r="H15" s="3">
        <f>H14*10^3</f>
        <v>200</v>
      </c>
    </row>
    <row r="16" spans="1:10" x14ac:dyDescent="0.25">
      <c r="A16" s="3" t="s">
        <v>8</v>
      </c>
      <c r="B16" s="3">
        <f>(B12)*(B13)/(B14*B15)</f>
        <v>1.095890410958904</v>
      </c>
      <c r="C16" s="2"/>
      <c r="D16" s="13"/>
      <c r="E16" s="13"/>
      <c r="F16" s="2"/>
      <c r="G16" s="13"/>
      <c r="H16" s="13"/>
    </row>
    <row r="17" spans="1:8" x14ac:dyDescent="0.25">
      <c r="A17" s="7"/>
      <c r="B17" s="7"/>
      <c r="C17" s="2"/>
      <c r="D17" s="1"/>
      <c r="E17" s="1"/>
      <c r="F17" s="2"/>
      <c r="G17" s="13"/>
      <c r="H17" s="13"/>
    </row>
    <row r="18" spans="1:8" x14ac:dyDescent="0.25">
      <c r="A18" s="21" t="s">
        <v>78</v>
      </c>
      <c r="B18" s="22"/>
      <c r="C18" s="6"/>
      <c r="D18" s="3" t="s">
        <v>94</v>
      </c>
      <c r="E18" s="3"/>
      <c r="F18" s="2"/>
      <c r="G18" s="13"/>
      <c r="H18" s="13"/>
    </row>
    <row r="19" spans="1:8" x14ac:dyDescent="0.25">
      <c r="A19" s="3" t="s">
        <v>80</v>
      </c>
      <c r="B19" s="3">
        <v>0.32</v>
      </c>
      <c r="C19" s="6"/>
      <c r="D19" s="11" t="s">
        <v>80</v>
      </c>
      <c r="E19" s="3">
        <v>0.32</v>
      </c>
      <c r="F19" s="2"/>
      <c r="G19" s="1"/>
      <c r="H19" s="1"/>
    </row>
    <row r="20" spans="1:8" x14ac:dyDescent="0.25">
      <c r="A20" s="3" t="s">
        <v>82</v>
      </c>
      <c r="B20" s="8">
        <v>0.2</v>
      </c>
      <c r="C20" s="2"/>
      <c r="D20" s="3" t="s">
        <v>8</v>
      </c>
      <c r="E20" s="3">
        <f>E19/2</f>
        <v>0.16</v>
      </c>
      <c r="F20" s="2"/>
      <c r="G20" s="1"/>
      <c r="H20" s="1"/>
    </row>
    <row r="21" spans="1:8" x14ac:dyDescent="0.25">
      <c r="A21" s="3" t="s">
        <v>83</v>
      </c>
      <c r="B21" s="3">
        <f>B19*B20</f>
        <v>6.4000000000000001E-2</v>
      </c>
      <c r="C21" s="2"/>
      <c r="D21" s="1"/>
      <c r="E21" s="1"/>
      <c r="F21" s="2"/>
      <c r="G21" s="1"/>
      <c r="H21" s="1"/>
    </row>
    <row r="22" spans="1:8" x14ac:dyDescent="0.25">
      <c r="A22" s="3" t="s">
        <v>84</v>
      </c>
      <c r="B22" s="3">
        <f>B21*10^3</f>
        <v>64</v>
      </c>
      <c r="C22" s="2"/>
      <c r="D22" s="1"/>
      <c r="E22" s="1"/>
      <c r="F22" s="2"/>
      <c r="G22" s="1"/>
      <c r="H22" s="1"/>
    </row>
    <row r="23" spans="1:8" x14ac:dyDescent="0.25">
      <c r="A23" s="13"/>
      <c r="B23" s="13"/>
      <c r="C23" s="2"/>
      <c r="D23" s="1"/>
      <c r="E23" s="1"/>
      <c r="F23" s="2"/>
      <c r="G23" s="1"/>
      <c r="H23" s="1"/>
    </row>
    <row r="24" spans="1:8" x14ac:dyDescent="0.25">
      <c r="A24" s="1"/>
      <c r="B24" s="1"/>
      <c r="C24" s="2"/>
      <c r="D24" s="1"/>
      <c r="E24" s="1"/>
      <c r="F24" s="2"/>
      <c r="G24" s="1"/>
      <c r="H24" s="1"/>
    </row>
    <row r="25" spans="1:8" x14ac:dyDescent="0.25">
      <c r="A25" s="1"/>
      <c r="B25" s="1"/>
      <c r="C25" s="2"/>
      <c r="D25" s="1"/>
      <c r="E25" s="1"/>
      <c r="F25" s="2"/>
      <c r="G25" s="1"/>
      <c r="H25" s="1"/>
    </row>
    <row r="26" spans="1:8" x14ac:dyDescent="0.25">
      <c r="A26" s="1"/>
      <c r="B26" s="1"/>
      <c r="C26" s="2"/>
      <c r="D26" s="1"/>
      <c r="E26" s="1"/>
      <c r="F26" s="2"/>
      <c r="G26" s="1"/>
      <c r="H26" s="1"/>
    </row>
  </sheetData>
  <mergeCells count="7">
    <mergeCell ref="A18:B18"/>
    <mergeCell ref="A1:B1"/>
    <mergeCell ref="D1:E1"/>
    <mergeCell ref="G1:H1"/>
    <mergeCell ref="A11:B11"/>
    <mergeCell ref="D11:E11"/>
    <mergeCell ref="G11:H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493E0-F4DE-4780-8B2C-C964096B90F2}">
  <dimension ref="A1:J69"/>
  <sheetViews>
    <sheetView tabSelected="1" zoomScaleNormal="100" workbookViewId="0">
      <selection activeCell="G9" sqref="G9"/>
    </sheetView>
  </sheetViews>
  <sheetFormatPr defaultRowHeight="15" x14ac:dyDescent="0.25"/>
  <cols>
    <col min="1" max="1" width="28.28515625" customWidth="1"/>
    <col min="2" max="2" width="12" bestFit="1" customWidth="1"/>
    <col min="4" max="4" width="29.140625" customWidth="1"/>
    <col min="5" max="5" width="18.42578125" customWidth="1"/>
    <col min="7" max="7" width="31.28515625" customWidth="1"/>
    <col min="8" max="8" width="19.85546875" customWidth="1"/>
    <col min="11" max="11" width="13" customWidth="1"/>
  </cols>
  <sheetData>
    <row r="1" spans="1:10" x14ac:dyDescent="0.25">
      <c r="A1" s="21" t="s">
        <v>115</v>
      </c>
      <c r="B1" s="22"/>
      <c r="C1" s="2"/>
      <c r="D1" s="21" t="s">
        <v>111</v>
      </c>
      <c r="E1" s="22"/>
      <c r="F1" s="2"/>
      <c r="G1" s="21" t="s">
        <v>131</v>
      </c>
      <c r="H1" s="22"/>
    </row>
    <row r="2" spans="1:10" x14ac:dyDescent="0.25">
      <c r="A2" s="3" t="s">
        <v>106</v>
      </c>
      <c r="B2" s="3">
        <f>550*10^3</f>
        <v>550000</v>
      </c>
      <c r="C2" s="2"/>
      <c r="D2" s="3" t="s">
        <v>29</v>
      </c>
      <c r="E2" s="3">
        <f>ABS(-20)</f>
        <v>20</v>
      </c>
      <c r="F2" s="2"/>
      <c r="G2" s="3" t="s">
        <v>132</v>
      </c>
      <c r="H2" s="3">
        <v>7.8</v>
      </c>
    </row>
    <row r="3" spans="1:10" x14ac:dyDescent="0.25">
      <c r="A3" s="3" t="s">
        <v>107</v>
      </c>
      <c r="B3" s="3">
        <f>280*10^-9</f>
        <v>2.8000000000000002E-7</v>
      </c>
      <c r="C3" s="2"/>
      <c r="D3" s="3" t="s">
        <v>113</v>
      </c>
      <c r="E3" s="3">
        <v>0.4</v>
      </c>
      <c r="F3" s="2"/>
      <c r="G3" s="4" t="s">
        <v>133</v>
      </c>
      <c r="H3" s="3">
        <f>120*10^-3</f>
        <v>0.12</v>
      </c>
    </row>
    <row r="4" spans="1:10" x14ac:dyDescent="0.25">
      <c r="A4" s="3" t="s">
        <v>108</v>
      </c>
      <c r="B4" s="3">
        <f>152*10^-12</f>
        <v>1.5199999999999999E-10</v>
      </c>
      <c r="C4" s="2"/>
      <c r="D4" s="3" t="s">
        <v>106</v>
      </c>
      <c r="E4" s="3">
        <f>B2</f>
        <v>550000</v>
      </c>
      <c r="F4" s="2"/>
      <c r="G4" s="3" t="s">
        <v>29</v>
      </c>
      <c r="H4" s="3">
        <f>ABS(-20)</f>
        <v>20</v>
      </c>
    </row>
    <row r="5" spans="1:10" x14ac:dyDescent="0.25">
      <c r="A5" s="3" t="s">
        <v>109</v>
      </c>
      <c r="B5" s="3">
        <f>((1/B2)-B3)/(B4)</f>
        <v>10119.617224880381</v>
      </c>
      <c r="C5" s="2"/>
      <c r="D5" s="3" t="s">
        <v>112</v>
      </c>
      <c r="E5" s="3">
        <v>25</v>
      </c>
      <c r="F5" s="2"/>
      <c r="G5" s="3" t="s">
        <v>134</v>
      </c>
      <c r="H5" s="3">
        <f>H4*5*10^-6</f>
        <v>9.9999999999999991E-5</v>
      </c>
    </row>
    <row r="6" spans="1:10" x14ac:dyDescent="0.25">
      <c r="A6" s="3" t="s">
        <v>148</v>
      </c>
      <c r="B6" s="3">
        <f>B5*10^-3</f>
        <v>10.119617224880381</v>
      </c>
      <c r="C6" s="2"/>
      <c r="D6" s="3" t="s">
        <v>37</v>
      </c>
      <c r="E6" s="3">
        <v>1</v>
      </c>
      <c r="F6" s="2"/>
      <c r="G6" s="3" t="s">
        <v>135</v>
      </c>
      <c r="H6" s="3">
        <f>((H2-H3))/(H5-25*10^-6)</f>
        <v>102400</v>
      </c>
    </row>
    <row r="7" spans="1:10" x14ac:dyDescent="0.25">
      <c r="A7" s="3"/>
      <c r="B7" s="3"/>
      <c r="C7" s="2"/>
      <c r="D7" s="3" t="s">
        <v>136</v>
      </c>
      <c r="E7" s="3">
        <f>((E2))/(E3*E6*E4)*(1-(E2/E5))</f>
        <v>1.8181818181818175E-5</v>
      </c>
      <c r="F7" s="2"/>
      <c r="G7" s="3" t="s">
        <v>110</v>
      </c>
      <c r="H7" s="3">
        <f>H6*10^-3</f>
        <v>102.4</v>
      </c>
    </row>
    <row r="8" spans="1:10" x14ac:dyDescent="0.25">
      <c r="A8" s="3"/>
      <c r="B8" s="3"/>
      <c r="C8" s="2"/>
      <c r="D8" s="3" t="s">
        <v>123</v>
      </c>
      <c r="E8" s="3">
        <f>E7*10^6</f>
        <v>18.181818181818176</v>
      </c>
      <c r="F8" s="2"/>
      <c r="G8" s="1"/>
      <c r="H8" s="1"/>
    </row>
    <row r="9" spans="1:10" x14ac:dyDescent="0.25">
      <c r="A9" s="3"/>
      <c r="B9" s="12"/>
      <c r="C9" s="2"/>
      <c r="D9" s="1"/>
      <c r="E9" s="1"/>
      <c r="F9" s="2"/>
      <c r="G9" s="1"/>
      <c r="H9" s="1"/>
    </row>
    <row r="10" spans="1:10" x14ac:dyDescent="0.25">
      <c r="A10" s="1"/>
      <c r="B10" s="1"/>
      <c r="C10" s="2"/>
      <c r="D10" s="1"/>
      <c r="E10" s="1"/>
      <c r="F10" s="2"/>
      <c r="G10" s="1"/>
      <c r="H10" s="1"/>
    </row>
    <row r="11" spans="1:10" x14ac:dyDescent="0.25">
      <c r="A11" s="21" t="s">
        <v>114</v>
      </c>
      <c r="B11" s="22"/>
      <c r="C11" s="2"/>
      <c r="D11" s="21" t="s">
        <v>120</v>
      </c>
      <c r="E11" s="22"/>
      <c r="F11" s="2"/>
      <c r="G11" s="21" t="s">
        <v>138</v>
      </c>
      <c r="H11" s="22"/>
    </row>
    <row r="12" spans="1:10" x14ac:dyDescent="0.25">
      <c r="A12" s="3" t="s">
        <v>117</v>
      </c>
      <c r="B12" s="3">
        <v>0.12</v>
      </c>
      <c r="C12" s="2"/>
      <c r="D12" s="3" t="s">
        <v>121</v>
      </c>
      <c r="E12" s="3">
        <v>5</v>
      </c>
      <c r="F12" s="2"/>
      <c r="G12" s="11" t="s">
        <v>124</v>
      </c>
      <c r="H12" s="3">
        <f>22*10^-6</f>
        <v>2.1999999999999999E-5</v>
      </c>
    </row>
    <row r="13" spans="1:10" x14ac:dyDescent="0.25">
      <c r="A13" s="3" t="s">
        <v>118</v>
      </c>
      <c r="B13" s="3">
        <v>0.1</v>
      </c>
      <c r="C13" s="2"/>
      <c r="D13" s="11" t="s">
        <v>124</v>
      </c>
      <c r="E13" s="3">
        <f>22*10^-6</f>
        <v>2.1999999999999999E-5</v>
      </c>
      <c r="F13" s="2"/>
      <c r="G13" s="3" t="s">
        <v>37</v>
      </c>
      <c r="H13" s="3">
        <f>E6</f>
        <v>1</v>
      </c>
    </row>
    <row r="14" spans="1:10" x14ac:dyDescent="0.25">
      <c r="A14" s="3" t="s">
        <v>37</v>
      </c>
      <c r="B14" s="3">
        <v>1</v>
      </c>
      <c r="C14" s="2"/>
      <c r="D14" s="3" t="s">
        <v>126</v>
      </c>
      <c r="E14" s="3">
        <v>10</v>
      </c>
      <c r="F14" s="2"/>
      <c r="G14" s="3" t="s">
        <v>116</v>
      </c>
      <c r="H14" s="3">
        <f>B15</f>
        <v>0.4</v>
      </c>
      <c r="J14" s="9"/>
    </row>
    <row r="15" spans="1:10" x14ac:dyDescent="0.25">
      <c r="A15" s="3" t="s">
        <v>116</v>
      </c>
      <c r="B15" s="3">
        <f>E6*0.4</f>
        <v>0.4</v>
      </c>
      <c r="C15" s="2"/>
      <c r="D15" s="3" t="s">
        <v>125</v>
      </c>
      <c r="E15" s="3">
        <f>25*10^-3</f>
        <v>2.5000000000000001E-2</v>
      </c>
      <c r="F15" s="2"/>
      <c r="G15" s="18" t="s">
        <v>137</v>
      </c>
      <c r="H15" s="3">
        <f>0.01*ABS(-20)</f>
        <v>0.2</v>
      </c>
    </row>
    <row r="16" spans="1:10" x14ac:dyDescent="0.25">
      <c r="A16" s="3" t="s">
        <v>29</v>
      </c>
      <c r="B16" s="3">
        <f>ABS(-20)</f>
        <v>20</v>
      </c>
      <c r="C16" s="2"/>
      <c r="D16" s="3" t="s">
        <v>128</v>
      </c>
      <c r="E16" s="3">
        <f>((E12*E13))/((E14*E15))</f>
        <v>4.3999999999999996E-4</v>
      </c>
      <c r="F16" s="2"/>
      <c r="G16" s="18" t="s">
        <v>1</v>
      </c>
      <c r="H16" s="18">
        <f>ABS(-20)</f>
        <v>20</v>
      </c>
    </row>
    <row r="17" spans="1:8" x14ac:dyDescent="0.25">
      <c r="A17" s="3" t="s">
        <v>106</v>
      </c>
      <c r="B17" s="17">
        <f>550*10^3</f>
        <v>550000</v>
      </c>
      <c r="C17" s="6"/>
      <c r="D17" s="3" t="s">
        <v>127</v>
      </c>
      <c r="E17" s="3">
        <f>E16*10^6</f>
        <v>439.99999999999994</v>
      </c>
      <c r="F17" s="2"/>
      <c r="G17" s="18" t="s">
        <v>41</v>
      </c>
      <c r="H17" s="18">
        <f>(H12)*(H13+(H14/2)^2)/((H15+H16)^2-(H16)^2)</f>
        <v>2.8457711442786199E-6</v>
      </c>
    </row>
    <row r="18" spans="1:8" x14ac:dyDescent="0.25">
      <c r="A18" s="3" t="s">
        <v>122</v>
      </c>
      <c r="B18" s="3">
        <f>22*10^-6</f>
        <v>2.1999999999999999E-5</v>
      </c>
      <c r="C18" s="6"/>
      <c r="D18" s="3" t="s">
        <v>130</v>
      </c>
      <c r="E18" s="3">
        <f>((E12*E13))/((E14*B19))</f>
        <v>2.7251515151515153E-4</v>
      </c>
      <c r="F18" s="2"/>
      <c r="G18" s="1"/>
      <c r="H18" s="1"/>
    </row>
    <row r="19" spans="1:8" x14ac:dyDescent="0.25">
      <c r="A19" s="3" t="s">
        <v>86</v>
      </c>
      <c r="B19" s="8">
        <f>((B12)/((1+B13)*(B14+(0.5*B15))+((B16)/(B18*B17))))</f>
        <v>4.0364728121872563E-2</v>
      </c>
      <c r="C19" s="2"/>
      <c r="D19" s="3" t="s">
        <v>129</v>
      </c>
      <c r="E19" s="3">
        <f>E18*10^6</f>
        <v>272.5151515151515</v>
      </c>
      <c r="F19" s="2"/>
      <c r="G19" s="1"/>
      <c r="H19" s="1"/>
    </row>
    <row r="20" spans="1:8" x14ac:dyDescent="0.25">
      <c r="A20" s="3" t="s">
        <v>119</v>
      </c>
      <c r="B20" s="3">
        <f>B19*10^3</f>
        <v>40.364728121872567</v>
      </c>
      <c r="C20" s="2"/>
      <c r="D20" s="1"/>
      <c r="E20" s="1"/>
      <c r="F20" s="2"/>
      <c r="G20" s="1"/>
      <c r="H20" s="1"/>
    </row>
    <row r="21" spans="1:8" x14ac:dyDescent="0.25">
      <c r="A21" s="3"/>
      <c r="B21" s="3"/>
      <c r="C21" s="2"/>
      <c r="D21" s="1"/>
      <c r="E21" s="1"/>
      <c r="F21" s="2"/>
      <c r="G21" s="1"/>
      <c r="H21" s="1"/>
    </row>
    <row r="22" spans="1:8" x14ac:dyDescent="0.25">
      <c r="A22" s="13"/>
      <c r="B22" s="13"/>
      <c r="C22" s="2"/>
      <c r="D22" s="1"/>
      <c r="E22" s="1"/>
      <c r="F22" s="2"/>
      <c r="G22" s="1"/>
      <c r="H22" s="1"/>
    </row>
    <row r="23" spans="1:8" x14ac:dyDescent="0.25">
      <c r="A23" s="21" t="s">
        <v>139</v>
      </c>
      <c r="B23" s="22"/>
      <c r="C23" s="2"/>
      <c r="D23" s="21" t="s">
        <v>141</v>
      </c>
      <c r="E23" s="22"/>
      <c r="F23" s="2"/>
      <c r="G23" s="21" t="s">
        <v>144</v>
      </c>
      <c r="H23" s="22"/>
    </row>
    <row r="24" spans="1:8" x14ac:dyDescent="0.25">
      <c r="A24" s="3" t="s">
        <v>37</v>
      </c>
      <c r="B24" s="3">
        <v>1</v>
      </c>
      <c r="C24" s="2"/>
      <c r="D24" s="3" t="s">
        <v>142</v>
      </c>
      <c r="E24" s="3">
        <v>2.4</v>
      </c>
      <c r="F24" s="2"/>
      <c r="G24" s="18" t="s">
        <v>145</v>
      </c>
      <c r="H24" s="3">
        <f>2*10^3</f>
        <v>2000</v>
      </c>
    </row>
    <row r="25" spans="1:8" x14ac:dyDescent="0.25">
      <c r="A25" s="3" t="s">
        <v>106</v>
      </c>
      <c r="B25" s="3">
        <f>550*10^3</f>
        <v>550000</v>
      </c>
      <c r="C25" s="2"/>
      <c r="D25" s="18" t="s">
        <v>155</v>
      </c>
      <c r="E25" s="3">
        <f>0.04*25</f>
        <v>1</v>
      </c>
      <c r="F25" s="2"/>
      <c r="G25" s="3" t="s">
        <v>31</v>
      </c>
      <c r="H25" s="3">
        <v>1.2050000000000001</v>
      </c>
    </row>
    <row r="26" spans="1:8" x14ac:dyDescent="0.25">
      <c r="A26" s="3" t="s">
        <v>140</v>
      </c>
      <c r="B26" s="3">
        <f>320*10^-9</f>
        <v>3.2000000000000001E-7</v>
      </c>
      <c r="C26" s="2"/>
      <c r="D26" s="3" t="s">
        <v>143</v>
      </c>
      <c r="E26" s="3">
        <f>E25/E24</f>
        <v>0.41666666666666669</v>
      </c>
      <c r="F26" s="2"/>
      <c r="G26" s="3" t="s">
        <v>146</v>
      </c>
      <c r="H26" s="3">
        <f>11*10^-6</f>
        <v>1.1E-5</v>
      </c>
    </row>
    <row r="27" spans="1:8" x14ac:dyDescent="0.25">
      <c r="A27" s="3" t="s">
        <v>83</v>
      </c>
      <c r="B27" s="3">
        <f>((B24))/(4*B25*B26)</f>
        <v>1.4204545454545454</v>
      </c>
      <c r="C27" s="2"/>
      <c r="D27" s="1"/>
      <c r="E27" s="1"/>
      <c r="F27" s="2"/>
      <c r="G27" s="18" t="s">
        <v>41</v>
      </c>
      <c r="H27" s="18">
        <f>((H24*H26))/(H25)</f>
        <v>1.8257261410788379E-2</v>
      </c>
    </row>
    <row r="28" spans="1:8" x14ac:dyDescent="0.25">
      <c r="A28" s="3" t="s">
        <v>84</v>
      </c>
      <c r="B28" s="3">
        <f>B27*10^3</f>
        <v>1420.4545454545455</v>
      </c>
      <c r="C28" s="2"/>
      <c r="D28" s="1"/>
      <c r="E28" s="1"/>
      <c r="F28" s="2"/>
      <c r="G28" s="1"/>
      <c r="H28" s="1"/>
    </row>
    <row r="29" spans="1:8" x14ac:dyDescent="0.25">
      <c r="A29" s="1"/>
      <c r="B29" s="1"/>
      <c r="C29" s="2"/>
      <c r="D29" s="1"/>
      <c r="E29" s="1"/>
      <c r="F29" s="2"/>
      <c r="G29" s="1"/>
      <c r="H29" s="1"/>
    </row>
    <row r="30" spans="1:8" x14ac:dyDescent="0.25">
      <c r="A30" s="21" t="s">
        <v>147</v>
      </c>
      <c r="B30" s="22"/>
      <c r="C30" s="2"/>
      <c r="D30" s="21" t="s">
        <v>153</v>
      </c>
      <c r="E30" s="22"/>
      <c r="F30" s="2"/>
      <c r="G30" s="21" t="s">
        <v>160</v>
      </c>
      <c r="H30" s="22"/>
    </row>
    <row r="31" spans="1:8" x14ac:dyDescent="0.25">
      <c r="A31" s="18" t="s">
        <v>150</v>
      </c>
      <c r="B31" s="19" t="s">
        <v>151</v>
      </c>
      <c r="C31" s="2"/>
      <c r="D31" s="20" t="s">
        <v>157</v>
      </c>
      <c r="E31" s="19">
        <v>10</v>
      </c>
      <c r="F31" s="2"/>
      <c r="G31" s="20" t="s">
        <v>161</v>
      </c>
      <c r="H31" s="19">
        <f>(ABS(-20))/(ABS(-20)+25*0.9)</f>
        <v>0.47058823529411764</v>
      </c>
    </row>
    <row r="32" spans="1:8" x14ac:dyDescent="0.25">
      <c r="A32" s="18" t="s">
        <v>149</v>
      </c>
      <c r="B32" s="18">
        <v>1.3</v>
      </c>
      <c r="C32" s="2"/>
      <c r="D32" s="20" t="s">
        <v>154</v>
      </c>
      <c r="E32" s="19">
        <v>24</v>
      </c>
      <c r="F32" s="2"/>
      <c r="G32" s="3" t="s">
        <v>37</v>
      </c>
      <c r="H32" s="19">
        <f>E6</f>
        <v>1</v>
      </c>
    </row>
    <row r="33" spans="1:8" x14ac:dyDescent="0.25">
      <c r="A33" s="18" t="s">
        <v>30</v>
      </c>
      <c r="B33" s="18">
        <v>1.2050000000000001</v>
      </c>
      <c r="C33" s="2"/>
      <c r="D33" s="20" t="s">
        <v>146</v>
      </c>
      <c r="E33" s="19">
        <f>5*10^-6</f>
        <v>4.9999999999999996E-6</v>
      </c>
      <c r="F33" s="2"/>
      <c r="G33" s="20" t="s">
        <v>162</v>
      </c>
      <c r="H33" s="19">
        <f>27.5*10^-3</f>
        <v>2.75E-2</v>
      </c>
    </row>
    <row r="34" spans="1:8" x14ac:dyDescent="0.25">
      <c r="A34" s="18" t="s">
        <v>29</v>
      </c>
      <c r="B34" s="18">
        <f>ABS(-20)</f>
        <v>20</v>
      </c>
      <c r="C34" s="2"/>
      <c r="D34" s="20" t="s">
        <v>156</v>
      </c>
      <c r="E34" s="19">
        <v>1.2</v>
      </c>
      <c r="F34" s="6"/>
      <c r="G34" s="20" t="s">
        <v>163</v>
      </c>
      <c r="H34" s="19">
        <f>(H31)*((H32)^2*H33*1.3)</f>
        <v>1.6823529411764706E-2</v>
      </c>
    </row>
    <row r="35" spans="1:8" x14ac:dyDescent="0.25">
      <c r="A35" s="18" t="s">
        <v>152</v>
      </c>
      <c r="B35" s="18">
        <f>((B34)/(B33)-1)*(B32)</f>
        <v>20.276763485477176</v>
      </c>
      <c r="C35" s="2"/>
      <c r="D35" s="20" t="s">
        <v>158</v>
      </c>
      <c r="E35" s="19">
        <f>((E31)/(E32+(E33*E31)-E34))</f>
        <v>0.43859552939576885</v>
      </c>
      <c r="F35" s="6"/>
      <c r="G35" s="20" t="s">
        <v>164</v>
      </c>
      <c r="H35" s="19">
        <f>H34*10^3</f>
        <v>16.823529411764707</v>
      </c>
    </row>
    <row r="36" spans="1:8" x14ac:dyDescent="0.25">
      <c r="A36" s="1"/>
      <c r="B36" s="1"/>
      <c r="C36" s="2"/>
      <c r="D36" s="20" t="s">
        <v>159</v>
      </c>
      <c r="E36" s="19">
        <f>E35*10^3</f>
        <v>438.59552939576884</v>
      </c>
      <c r="F36" s="2"/>
      <c r="G36" s="1"/>
      <c r="H36" s="1"/>
    </row>
    <row r="37" spans="1:8" x14ac:dyDescent="0.25">
      <c r="A37" s="1"/>
      <c r="B37" s="1"/>
      <c r="C37" s="2"/>
      <c r="D37" s="1"/>
      <c r="E37" s="1"/>
      <c r="F37" s="2"/>
      <c r="G37" s="1"/>
      <c r="H37" s="1"/>
    </row>
    <row r="38" spans="1:8" x14ac:dyDescent="0.25">
      <c r="A38" s="21" t="s">
        <v>173</v>
      </c>
      <c r="B38" s="22"/>
      <c r="C38" s="2"/>
      <c r="D38" s="21" t="s">
        <v>171</v>
      </c>
      <c r="E38" s="22"/>
      <c r="F38" s="2"/>
      <c r="G38" s="21" t="s">
        <v>165</v>
      </c>
      <c r="H38" s="22"/>
    </row>
    <row r="39" spans="1:8" x14ac:dyDescent="0.25">
      <c r="A39" s="20" t="s">
        <v>174</v>
      </c>
      <c r="B39" s="19">
        <f>256.8*10^-12</f>
        <v>2.5679999999999998E-10</v>
      </c>
      <c r="C39" s="2"/>
      <c r="D39" s="20" t="s">
        <v>161</v>
      </c>
      <c r="E39" s="19">
        <f>H31</f>
        <v>0.47058823529411764</v>
      </c>
      <c r="F39" s="2"/>
      <c r="G39" s="20" t="s">
        <v>35</v>
      </c>
      <c r="H39" s="19">
        <f>E5</f>
        <v>25</v>
      </c>
    </row>
    <row r="40" spans="1:8" x14ac:dyDescent="0.25">
      <c r="A40" s="20" t="s">
        <v>175</v>
      </c>
      <c r="B40" s="19">
        <v>25</v>
      </c>
      <c r="C40" s="6"/>
      <c r="D40" s="3" t="s">
        <v>37</v>
      </c>
      <c r="E40" s="19">
        <f>E6</f>
        <v>1</v>
      </c>
      <c r="F40" s="2"/>
      <c r="G40" s="3" t="s">
        <v>37</v>
      </c>
      <c r="H40" s="19">
        <f>E6</f>
        <v>1</v>
      </c>
    </row>
    <row r="41" spans="1:8" x14ac:dyDescent="0.25">
      <c r="A41" s="3" t="s">
        <v>106</v>
      </c>
      <c r="B41" s="19">
        <f>B2</f>
        <v>550000</v>
      </c>
      <c r="C41" s="6"/>
      <c r="D41" s="20" t="s">
        <v>172</v>
      </c>
      <c r="E41" s="19">
        <v>0.79</v>
      </c>
      <c r="F41" s="2"/>
      <c r="G41" s="3" t="s">
        <v>166</v>
      </c>
      <c r="H41" s="19">
        <f>3*10^-9</f>
        <v>3.0000000000000004E-9</v>
      </c>
    </row>
    <row r="42" spans="1:8" x14ac:dyDescent="0.25">
      <c r="A42" s="20" t="s">
        <v>163</v>
      </c>
      <c r="B42" s="19">
        <f>(B39)*(B40)^2*(B41)</f>
        <v>8.8274999999999992E-2</v>
      </c>
      <c r="C42" s="2"/>
      <c r="D42" s="20" t="s">
        <v>163</v>
      </c>
      <c r="E42" s="19">
        <f>(1-E39)*(E40)*(E41)</f>
        <v>0.41823529411764709</v>
      </c>
      <c r="F42" s="2"/>
      <c r="G42" s="3" t="s">
        <v>167</v>
      </c>
      <c r="H42" s="19">
        <f>2*10^-9</f>
        <v>2.0000000000000001E-9</v>
      </c>
    </row>
    <row r="43" spans="1:8" x14ac:dyDescent="0.25">
      <c r="A43" s="20" t="s">
        <v>164</v>
      </c>
      <c r="B43" s="19">
        <f>B42*10^3</f>
        <v>88.274999999999991</v>
      </c>
      <c r="C43" s="2"/>
      <c r="D43" s="20" t="s">
        <v>164</v>
      </c>
      <c r="E43" s="19">
        <f>E42*10^3</f>
        <v>418.23529411764707</v>
      </c>
      <c r="F43" s="2"/>
      <c r="G43" s="3" t="s">
        <v>106</v>
      </c>
      <c r="H43" s="3">
        <f>B2</f>
        <v>550000</v>
      </c>
    </row>
    <row r="44" spans="1:8" x14ac:dyDescent="0.25">
      <c r="A44" s="1"/>
      <c r="B44" s="1"/>
      <c r="C44" s="2"/>
      <c r="D44" s="1"/>
      <c r="E44" s="1"/>
      <c r="F44" s="2"/>
      <c r="G44" s="20" t="s">
        <v>163</v>
      </c>
      <c r="H44" s="19">
        <f>(0.5)*(H39)*(H40)*(H41+H42)*H43</f>
        <v>3.4374999999999996E-2</v>
      </c>
    </row>
    <row r="45" spans="1:8" x14ac:dyDescent="0.25">
      <c r="A45" s="1"/>
      <c r="B45" s="1"/>
      <c r="C45" s="2"/>
      <c r="D45" s="1"/>
      <c r="E45" s="1"/>
      <c r="F45" s="2"/>
      <c r="G45" s="20" t="s">
        <v>164</v>
      </c>
      <c r="H45" s="19">
        <f>H44*10^3</f>
        <v>34.374999999999993</v>
      </c>
    </row>
    <row r="46" spans="1:8" x14ac:dyDescent="0.25">
      <c r="A46" s="1"/>
      <c r="B46" s="1"/>
      <c r="C46" s="2"/>
      <c r="D46" s="1"/>
      <c r="E46" s="1"/>
      <c r="F46" s="2"/>
      <c r="G46" s="1"/>
      <c r="H46" s="1"/>
    </row>
    <row r="47" spans="1:8" x14ac:dyDescent="0.25">
      <c r="A47" s="1"/>
      <c r="B47" s="1"/>
      <c r="C47" s="2"/>
      <c r="D47" s="1"/>
      <c r="E47" s="1"/>
      <c r="F47" s="2"/>
      <c r="G47" s="21" t="s">
        <v>168</v>
      </c>
      <c r="H47" s="22"/>
    </row>
    <row r="48" spans="1:8" x14ac:dyDescent="0.25">
      <c r="A48" s="1"/>
      <c r="B48" s="1"/>
      <c r="C48" s="2"/>
      <c r="D48" s="1"/>
      <c r="E48" s="1"/>
      <c r="F48" s="2"/>
      <c r="G48" s="20" t="s">
        <v>169</v>
      </c>
      <c r="H48" s="19">
        <v>7.8</v>
      </c>
    </row>
    <row r="49" spans="1:8" x14ac:dyDescent="0.25">
      <c r="A49" s="1"/>
      <c r="B49" s="1"/>
      <c r="C49" s="2"/>
      <c r="D49" s="1"/>
      <c r="E49" s="1"/>
      <c r="F49" s="2"/>
      <c r="G49" s="20" t="s">
        <v>170</v>
      </c>
      <c r="H49" s="19">
        <f>6.8*10^-9</f>
        <v>6.8000000000000005E-9</v>
      </c>
    </row>
    <row r="50" spans="1:8" x14ac:dyDescent="0.25">
      <c r="A50" s="1"/>
      <c r="B50" s="1"/>
      <c r="C50" s="2"/>
      <c r="D50" s="1"/>
      <c r="E50" s="1"/>
      <c r="F50" s="2"/>
      <c r="G50" s="3" t="s">
        <v>106</v>
      </c>
      <c r="H50" s="3">
        <f>B2</f>
        <v>550000</v>
      </c>
    </row>
    <row r="51" spans="1:8" x14ac:dyDescent="0.25">
      <c r="A51" s="1"/>
      <c r="B51" s="1"/>
      <c r="C51" s="2"/>
      <c r="D51" s="1"/>
      <c r="E51" s="1"/>
      <c r="F51" s="2"/>
      <c r="G51" s="20" t="s">
        <v>163</v>
      </c>
      <c r="H51" s="19">
        <f>(H48)*(H49)*(H50)</f>
        <v>2.9172000000000003E-2</v>
      </c>
    </row>
    <row r="52" spans="1:8" x14ac:dyDescent="0.25">
      <c r="A52" s="1"/>
      <c r="B52" s="1"/>
      <c r="C52" s="2"/>
      <c r="D52" s="1"/>
      <c r="E52" s="1"/>
      <c r="F52" s="2"/>
      <c r="G52" s="20" t="s">
        <v>164</v>
      </c>
      <c r="H52" s="19">
        <f>H51*10^3</f>
        <v>29.172000000000004</v>
      </c>
    </row>
    <row r="53" spans="1:8" x14ac:dyDescent="0.25">
      <c r="A53" s="1"/>
      <c r="B53" s="1"/>
      <c r="C53" s="2"/>
      <c r="D53" s="1"/>
      <c r="E53" s="1"/>
      <c r="F53" s="2"/>
      <c r="G53" s="1"/>
      <c r="H53" s="1"/>
    </row>
    <row r="54" spans="1:8" x14ac:dyDescent="0.25">
      <c r="A54" s="1"/>
      <c r="B54" s="1"/>
      <c r="C54" s="2"/>
      <c r="D54" s="1"/>
      <c r="E54" s="1"/>
      <c r="F54" s="2"/>
      <c r="G54" s="1"/>
      <c r="H54" s="1"/>
    </row>
    <row r="55" spans="1:8" x14ac:dyDescent="0.25">
      <c r="A55" s="1"/>
      <c r="B55" s="1"/>
      <c r="C55" s="2"/>
      <c r="D55" s="1"/>
      <c r="E55" s="1"/>
      <c r="F55" s="2"/>
      <c r="G55" s="1"/>
      <c r="H55" s="1"/>
    </row>
    <row r="56" spans="1:8" x14ac:dyDescent="0.25">
      <c r="A56" s="1"/>
      <c r="B56" s="1"/>
      <c r="C56" s="2"/>
      <c r="D56" s="1"/>
      <c r="E56" s="1"/>
      <c r="F56" s="2"/>
      <c r="G56" s="1"/>
      <c r="H56" s="1"/>
    </row>
    <row r="57" spans="1:8" x14ac:dyDescent="0.25">
      <c r="A57" s="1"/>
      <c r="B57" s="1"/>
      <c r="C57" s="2"/>
      <c r="D57" s="1"/>
      <c r="E57" s="1"/>
      <c r="F57" s="2"/>
      <c r="G57" s="1"/>
      <c r="H57" s="1"/>
    </row>
    <row r="58" spans="1:8" x14ac:dyDescent="0.25">
      <c r="C58" s="2"/>
      <c r="F58" s="2"/>
    </row>
    <row r="59" spans="1:8" x14ac:dyDescent="0.25">
      <c r="C59" s="2"/>
      <c r="F59" s="2"/>
    </row>
    <row r="60" spans="1:8" x14ac:dyDescent="0.25">
      <c r="C60" s="2"/>
      <c r="F60" s="2"/>
    </row>
    <row r="61" spans="1:8" x14ac:dyDescent="0.25">
      <c r="C61" s="2"/>
      <c r="F61" s="2"/>
    </row>
    <row r="62" spans="1:8" x14ac:dyDescent="0.25">
      <c r="C62" s="2"/>
      <c r="F62" s="2"/>
    </row>
    <row r="63" spans="1:8" x14ac:dyDescent="0.25">
      <c r="C63" s="2"/>
      <c r="F63" s="2"/>
    </row>
    <row r="64" spans="1:8" x14ac:dyDescent="0.25">
      <c r="C64" s="2"/>
      <c r="F64" s="2"/>
    </row>
    <row r="65" spans="3:6" x14ac:dyDescent="0.25">
      <c r="C65" s="2"/>
      <c r="F65" s="2"/>
    </row>
    <row r="66" spans="3:6" x14ac:dyDescent="0.25">
      <c r="C66" s="2"/>
      <c r="F66" s="2"/>
    </row>
    <row r="67" spans="3:6" x14ac:dyDescent="0.25">
      <c r="C67" s="2"/>
      <c r="F67" s="2"/>
    </row>
    <row r="68" spans="3:6" x14ac:dyDescent="0.25">
      <c r="C68" s="2"/>
      <c r="F68" s="2"/>
    </row>
    <row r="69" spans="3:6" x14ac:dyDescent="0.25">
      <c r="C69" s="2"/>
      <c r="F69" s="2"/>
    </row>
  </sheetData>
  <mergeCells count="16">
    <mergeCell ref="G30:H30"/>
    <mergeCell ref="G38:H38"/>
    <mergeCell ref="G47:H47"/>
    <mergeCell ref="D38:E38"/>
    <mergeCell ref="A38:B38"/>
    <mergeCell ref="G1:H1"/>
    <mergeCell ref="A11:B11"/>
    <mergeCell ref="D11:E11"/>
    <mergeCell ref="G11:H11"/>
    <mergeCell ref="D23:E23"/>
    <mergeCell ref="G23:H23"/>
    <mergeCell ref="A30:B30"/>
    <mergeCell ref="D30:E30"/>
    <mergeCell ref="A23:B23"/>
    <mergeCell ref="A1:B1"/>
    <mergeCell ref="D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F061F-D4E9-4783-8BFC-535C401CA8A4}">
  <dimension ref="A1:H47"/>
  <sheetViews>
    <sheetView zoomScale="85" zoomScaleNormal="85" workbookViewId="0">
      <selection activeCell="L7" sqref="L7"/>
    </sheetView>
  </sheetViews>
  <sheetFormatPr defaultRowHeight="15" x14ac:dyDescent="0.25"/>
  <cols>
    <col min="1" max="1" width="21.42578125" customWidth="1"/>
    <col min="2" max="2" width="12.28515625" bestFit="1" customWidth="1"/>
    <col min="4" max="4" width="23.28515625" customWidth="1"/>
    <col min="8" max="8" width="37" customWidth="1"/>
  </cols>
  <sheetData>
    <row r="1" spans="1:8" x14ac:dyDescent="0.25">
      <c r="A1" s="3" t="s">
        <v>17</v>
      </c>
      <c r="B1" s="3"/>
      <c r="C1" s="2"/>
      <c r="D1" s="3" t="s">
        <v>23</v>
      </c>
      <c r="E1" s="3"/>
      <c r="F1" s="3"/>
      <c r="G1" s="3"/>
      <c r="H1" s="3"/>
    </row>
    <row r="2" spans="1:8" x14ac:dyDescent="0.25">
      <c r="A2" s="3" t="s">
        <v>18</v>
      </c>
      <c r="B2" s="3">
        <v>200</v>
      </c>
      <c r="C2" s="2"/>
      <c r="D2" s="3" t="s">
        <v>28</v>
      </c>
      <c r="E2" s="3">
        <v>100</v>
      </c>
      <c r="F2" s="3">
        <v>105</v>
      </c>
      <c r="G2" s="3">
        <v>95</v>
      </c>
      <c r="H2" s="3" t="s">
        <v>65</v>
      </c>
    </row>
    <row r="3" spans="1:8" x14ac:dyDescent="0.25">
      <c r="A3" s="3" t="s">
        <v>29</v>
      </c>
      <c r="B3" s="3">
        <v>20</v>
      </c>
      <c r="C3" s="2"/>
      <c r="D3" s="3" t="s">
        <v>31</v>
      </c>
      <c r="E3" s="3">
        <v>20</v>
      </c>
      <c r="F3" s="3">
        <v>20</v>
      </c>
      <c r="G3" s="3">
        <v>20</v>
      </c>
      <c r="H3" s="3"/>
    </row>
    <row r="4" spans="1:8" x14ac:dyDescent="0.25">
      <c r="A4" s="3" t="s">
        <v>30</v>
      </c>
      <c r="B4" s="3">
        <v>1</v>
      </c>
      <c r="C4" s="2"/>
      <c r="D4" s="3" t="s">
        <v>32</v>
      </c>
      <c r="E4" s="3">
        <f>E3/E2</f>
        <v>0.2</v>
      </c>
      <c r="F4" s="3">
        <f>F3/F2</f>
        <v>0.19047619047619047</v>
      </c>
      <c r="G4" s="3">
        <f>G3/G2</f>
        <v>0.21052631578947367</v>
      </c>
      <c r="H4" s="3"/>
    </row>
    <row r="5" spans="1:8" x14ac:dyDescent="0.25">
      <c r="A5" s="3" t="s">
        <v>19</v>
      </c>
      <c r="B5" s="3">
        <f>((B2))/((B3/B4-1))</f>
        <v>10.526315789473685</v>
      </c>
      <c r="C5" s="2"/>
      <c r="D5" s="3" t="s">
        <v>34</v>
      </c>
      <c r="E5" s="3">
        <f>E4*5</f>
        <v>1</v>
      </c>
      <c r="F5" s="3">
        <f>F4*5</f>
        <v>0.95238095238095233</v>
      </c>
      <c r="G5" s="3">
        <f>G4*5</f>
        <v>1.0526315789473684</v>
      </c>
      <c r="H5" s="3"/>
    </row>
    <row r="6" spans="1:8" x14ac:dyDescent="0.25">
      <c r="A6" s="1"/>
      <c r="B6" s="1"/>
      <c r="C6" s="2"/>
      <c r="D6" s="3" t="s">
        <v>33</v>
      </c>
      <c r="E6" s="3">
        <f>(E4)^2*E2</f>
        <v>4.0000000000000009</v>
      </c>
      <c r="F6" s="3">
        <f>(F4)^2*F2</f>
        <v>3.8095238095238089</v>
      </c>
      <c r="G6" s="3">
        <f>(G4)^2*G2</f>
        <v>4.2105263157894735</v>
      </c>
      <c r="H6" s="3" t="s">
        <v>66</v>
      </c>
    </row>
    <row r="7" spans="1:8" ht="210" x14ac:dyDescent="0.25">
      <c r="A7" s="1"/>
      <c r="B7" s="1"/>
      <c r="C7" s="2"/>
      <c r="D7" s="1"/>
      <c r="E7" s="1"/>
      <c r="F7" s="1"/>
      <c r="G7" s="1"/>
      <c r="H7" s="14" t="s">
        <v>99</v>
      </c>
    </row>
    <row r="8" spans="1:8" x14ac:dyDescent="0.25">
      <c r="A8" s="1"/>
      <c r="B8" s="1"/>
      <c r="C8" s="2"/>
      <c r="D8" s="1"/>
      <c r="E8" s="1"/>
      <c r="F8" s="1"/>
      <c r="G8" s="1"/>
      <c r="H8" s="15"/>
    </row>
    <row r="9" spans="1:8" x14ac:dyDescent="0.25">
      <c r="A9" s="3" t="s">
        <v>77</v>
      </c>
      <c r="B9" s="3"/>
      <c r="C9" s="2"/>
      <c r="D9" s="1"/>
      <c r="E9" s="1"/>
      <c r="F9" s="1"/>
      <c r="G9" s="1"/>
      <c r="H9" s="13"/>
    </row>
    <row r="10" spans="1:8" x14ac:dyDescent="0.25">
      <c r="A10" s="3"/>
      <c r="B10" s="3"/>
      <c r="C10" s="2"/>
      <c r="D10" s="1"/>
      <c r="E10" s="1"/>
      <c r="F10" s="1"/>
      <c r="G10" s="1"/>
      <c r="H10" s="16"/>
    </row>
    <row r="11" spans="1:8" x14ac:dyDescent="0.25">
      <c r="A11" s="3" t="s">
        <v>75</v>
      </c>
      <c r="B11" s="3">
        <f>((B12))*((B13/B14)-1)</f>
        <v>19.838211382113823</v>
      </c>
      <c r="C11" s="2"/>
      <c r="D11" s="1"/>
      <c r="E11" s="1"/>
      <c r="F11" s="1"/>
      <c r="G11" s="1"/>
      <c r="H11" s="1"/>
    </row>
    <row r="12" spans="1:8" x14ac:dyDescent="0.25">
      <c r="A12" s="3" t="s">
        <v>76</v>
      </c>
      <c r="B12" s="3">
        <v>1.3</v>
      </c>
      <c r="C12" s="2"/>
      <c r="D12" s="1"/>
      <c r="E12" s="1"/>
      <c r="F12" s="1"/>
      <c r="G12" s="1"/>
      <c r="H12" s="1"/>
    </row>
    <row r="13" spans="1:8" x14ac:dyDescent="0.25">
      <c r="A13" s="3" t="s">
        <v>29</v>
      </c>
      <c r="B13" s="3">
        <f>ABS(-20)</f>
        <v>20</v>
      </c>
      <c r="C13" s="2"/>
      <c r="D13" s="1"/>
      <c r="E13" s="1"/>
      <c r="F13" s="1"/>
      <c r="G13" s="1"/>
      <c r="H13" s="1"/>
    </row>
    <row r="14" spans="1:8" x14ac:dyDescent="0.25">
      <c r="A14" s="3" t="s">
        <v>30</v>
      </c>
      <c r="B14" s="3">
        <v>1.23</v>
      </c>
      <c r="C14" s="2"/>
      <c r="D14" s="1"/>
      <c r="E14" s="1"/>
      <c r="F14" s="1"/>
      <c r="G14" s="1"/>
      <c r="H14" s="1"/>
    </row>
    <row r="15" spans="1:8" x14ac:dyDescent="0.25">
      <c r="A15" s="1"/>
      <c r="B15" s="1"/>
      <c r="C15" s="2"/>
      <c r="D15" s="1"/>
      <c r="E15" s="1"/>
      <c r="F15" s="1"/>
      <c r="G15" s="1"/>
      <c r="H15" s="1"/>
    </row>
    <row r="16" spans="1:8" x14ac:dyDescent="0.25">
      <c r="A16" s="1"/>
      <c r="B16" s="1"/>
      <c r="C16" s="2"/>
      <c r="D16" s="1"/>
      <c r="E16" s="1"/>
      <c r="F16" s="1"/>
      <c r="G16" s="1"/>
      <c r="H16" s="1"/>
    </row>
    <row r="17" spans="1:8" x14ac:dyDescent="0.25">
      <c r="A17" s="3" t="s">
        <v>66</v>
      </c>
      <c r="B17" s="1"/>
      <c r="C17" s="2"/>
      <c r="D17" s="1"/>
      <c r="E17" s="1"/>
      <c r="F17" s="1"/>
      <c r="G17" s="1"/>
      <c r="H17" s="1"/>
    </row>
    <row r="18" spans="1:8" ht="390" x14ac:dyDescent="0.25">
      <c r="A18" s="14" t="s">
        <v>100</v>
      </c>
      <c r="B18" s="1"/>
      <c r="C18" s="2"/>
      <c r="D18" s="1"/>
      <c r="E18" s="1"/>
      <c r="F18" s="1"/>
      <c r="G18" s="1"/>
      <c r="H18" s="1"/>
    </row>
    <row r="19" spans="1:8" x14ac:dyDescent="0.25">
      <c r="A19" s="1"/>
      <c r="B19" s="1"/>
      <c r="C19" s="2"/>
      <c r="D19" s="1"/>
      <c r="E19" s="1"/>
      <c r="F19" s="1"/>
      <c r="G19" s="1"/>
      <c r="H19" s="1"/>
    </row>
    <row r="20" spans="1:8" x14ac:dyDescent="0.25">
      <c r="A20" s="1"/>
      <c r="B20" s="1"/>
      <c r="C20" s="2"/>
      <c r="D20" s="1"/>
      <c r="E20" s="1"/>
      <c r="F20" s="1"/>
      <c r="G20" s="1"/>
      <c r="H20" s="1"/>
    </row>
    <row r="21" spans="1:8" x14ac:dyDescent="0.25">
      <c r="A21" s="1"/>
      <c r="B21" s="1"/>
      <c r="C21" s="2"/>
      <c r="D21" s="1"/>
      <c r="E21" s="1"/>
      <c r="F21" s="1"/>
      <c r="G21" s="1"/>
      <c r="H21" s="1"/>
    </row>
    <row r="22" spans="1:8" x14ac:dyDescent="0.25">
      <c r="A22" s="1"/>
      <c r="B22" s="1"/>
      <c r="C22" s="2"/>
      <c r="D22" s="1"/>
      <c r="E22" s="1"/>
      <c r="F22" s="1"/>
      <c r="G22" s="1"/>
      <c r="H22" s="1"/>
    </row>
    <row r="23" spans="1:8" x14ac:dyDescent="0.25">
      <c r="A23" s="1"/>
      <c r="B23" s="1"/>
      <c r="C23" s="2"/>
      <c r="D23" s="1"/>
      <c r="E23" s="1"/>
      <c r="F23" s="1"/>
      <c r="G23" s="1"/>
      <c r="H23" s="1"/>
    </row>
    <row r="24" spans="1:8" x14ac:dyDescent="0.25">
      <c r="A24" s="1"/>
      <c r="B24" s="1"/>
      <c r="C24" s="2"/>
      <c r="D24" s="1"/>
      <c r="E24" s="1"/>
      <c r="F24" s="1"/>
      <c r="G24" s="1"/>
      <c r="H24" s="1"/>
    </row>
    <row r="25" spans="1:8" x14ac:dyDescent="0.25">
      <c r="A25" s="1"/>
      <c r="B25" s="1"/>
      <c r="C25" s="2"/>
      <c r="D25" s="1"/>
      <c r="E25" s="1"/>
      <c r="F25" s="1"/>
      <c r="G25" s="1"/>
      <c r="H25" s="1"/>
    </row>
    <row r="26" spans="1:8" x14ac:dyDescent="0.25">
      <c r="A26" s="1"/>
      <c r="B26" s="1"/>
      <c r="C26" s="2"/>
      <c r="D26" s="1"/>
      <c r="E26" s="1"/>
      <c r="F26" s="1"/>
      <c r="G26" s="1"/>
      <c r="H26" s="1"/>
    </row>
    <row r="27" spans="1:8" x14ac:dyDescent="0.25">
      <c r="A27" s="1"/>
      <c r="B27" s="1"/>
      <c r="C27" s="2"/>
      <c r="D27" s="1"/>
      <c r="E27" s="1"/>
      <c r="F27" s="1"/>
      <c r="G27" s="1"/>
      <c r="H27" s="1"/>
    </row>
    <row r="28" spans="1:8" x14ac:dyDescent="0.25">
      <c r="A28" s="1"/>
      <c r="B28" s="1"/>
      <c r="C28" s="2"/>
      <c r="D28" s="1"/>
      <c r="E28" s="1"/>
      <c r="F28" s="1"/>
      <c r="G28" s="1"/>
      <c r="H28" s="1"/>
    </row>
    <row r="29" spans="1:8" x14ac:dyDescent="0.25">
      <c r="A29" s="1"/>
      <c r="B29" s="1"/>
      <c r="C29" s="10"/>
      <c r="D29" s="1"/>
      <c r="E29" s="1"/>
      <c r="F29" s="1"/>
      <c r="G29" s="1"/>
      <c r="H29" s="1"/>
    </row>
    <row r="30" spans="1:8" x14ac:dyDescent="0.25">
      <c r="A30" s="1"/>
      <c r="B30" s="1"/>
      <c r="C30" s="10"/>
      <c r="D30" s="1"/>
      <c r="E30" s="1"/>
      <c r="F30" s="1"/>
      <c r="G30" s="1"/>
      <c r="H30" s="1"/>
    </row>
    <row r="31" spans="1:8" x14ac:dyDescent="0.25">
      <c r="A31" s="1"/>
      <c r="B31" s="1"/>
      <c r="C31" s="10"/>
      <c r="D31" s="1"/>
      <c r="E31" s="1"/>
      <c r="F31" s="1"/>
      <c r="G31" s="1"/>
      <c r="H31" s="1"/>
    </row>
    <row r="32" spans="1:8" x14ac:dyDescent="0.25">
      <c r="A32" s="1"/>
      <c r="B32" s="1"/>
      <c r="C32" s="10"/>
      <c r="D32" s="1"/>
      <c r="E32" s="1"/>
      <c r="F32" s="1"/>
      <c r="G32" s="1"/>
      <c r="H32" s="1"/>
    </row>
    <row r="33" spans="1:8" x14ac:dyDescent="0.25">
      <c r="A33" s="1"/>
      <c r="B33" s="1"/>
      <c r="C33" s="10"/>
      <c r="D33" s="1"/>
      <c r="E33" s="1"/>
      <c r="F33" s="1"/>
      <c r="G33" s="1"/>
      <c r="H33" s="1"/>
    </row>
    <row r="34" spans="1:8" x14ac:dyDescent="0.25">
      <c r="A34" s="1"/>
      <c r="B34" s="1"/>
      <c r="C34" s="10"/>
      <c r="D34" s="1"/>
      <c r="E34" s="1"/>
      <c r="F34" s="1"/>
      <c r="G34" s="1"/>
      <c r="H34" s="1"/>
    </row>
    <row r="35" spans="1:8" x14ac:dyDescent="0.25">
      <c r="A35" s="1"/>
      <c r="B35" s="1"/>
      <c r="C35" s="10"/>
      <c r="D35" s="1"/>
      <c r="E35" s="1"/>
      <c r="F35" s="1"/>
      <c r="G35" s="1"/>
      <c r="H35" s="1"/>
    </row>
    <row r="36" spans="1:8" x14ac:dyDescent="0.25">
      <c r="A36" s="1"/>
      <c r="B36" s="1"/>
      <c r="C36" s="10"/>
      <c r="D36" s="1"/>
      <c r="E36" s="1"/>
      <c r="F36" s="1"/>
      <c r="G36" s="1"/>
      <c r="H36" s="1"/>
    </row>
    <row r="37" spans="1:8" x14ac:dyDescent="0.25">
      <c r="A37" s="1"/>
      <c r="B37" s="1"/>
      <c r="C37" s="10"/>
      <c r="D37" s="1"/>
      <c r="E37" s="1"/>
      <c r="F37" s="1"/>
      <c r="G37" s="1"/>
      <c r="H37" s="1"/>
    </row>
    <row r="38" spans="1:8" x14ac:dyDescent="0.25">
      <c r="A38" s="1"/>
      <c r="B38" s="1"/>
      <c r="C38" s="10"/>
      <c r="D38" s="1"/>
      <c r="E38" s="1"/>
      <c r="F38" s="1"/>
      <c r="G38" s="1"/>
      <c r="H38" s="1"/>
    </row>
    <row r="39" spans="1:8" x14ac:dyDescent="0.25">
      <c r="A39" s="1"/>
      <c r="B39" s="1"/>
      <c r="C39" s="10"/>
      <c r="D39" s="1"/>
      <c r="E39" s="1"/>
      <c r="F39" s="1"/>
      <c r="G39" s="1"/>
      <c r="H39" s="1"/>
    </row>
    <row r="40" spans="1:8" x14ac:dyDescent="0.25">
      <c r="A40" s="1"/>
      <c r="B40" s="1"/>
      <c r="C40" s="10"/>
      <c r="D40" s="1"/>
      <c r="E40" s="1"/>
      <c r="F40" s="1"/>
      <c r="G40" s="1"/>
      <c r="H40" s="1"/>
    </row>
    <row r="41" spans="1:8" x14ac:dyDescent="0.25">
      <c r="A41" s="1"/>
      <c r="B41" s="1"/>
      <c r="C41" s="10"/>
      <c r="D41" s="1"/>
      <c r="E41" s="1"/>
      <c r="F41" s="1"/>
      <c r="G41" s="1"/>
      <c r="H41" s="1"/>
    </row>
    <row r="42" spans="1:8" x14ac:dyDescent="0.25">
      <c r="A42" s="1"/>
      <c r="B42" s="1"/>
      <c r="C42" s="10"/>
      <c r="D42" s="1"/>
      <c r="E42" s="1"/>
      <c r="F42" s="1"/>
      <c r="G42" s="1"/>
      <c r="H42" s="1"/>
    </row>
    <row r="43" spans="1:8" x14ac:dyDescent="0.25">
      <c r="A43" s="1"/>
      <c r="B43" s="1"/>
      <c r="C43" s="10"/>
      <c r="D43" s="1"/>
      <c r="E43" s="1"/>
      <c r="F43" s="1"/>
      <c r="G43" s="1"/>
      <c r="H43" s="1"/>
    </row>
    <row r="44" spans="1:8" x14ac:dyDescent="0.25">
      <c r="A44" s="1"/>
      <c r="B44" s="1"/>
      <c r="C44" s="10"/>
      <c r="D44" s="1"/>
      <c r="E44" s="1"/>
      <c r="F44" s="1"/>
      <c r="G44" s="1"/>
      <c r="H44" s="1"/>
    </row>
    <row r="45" spans="1:8" x14ac:dyDescent="0.25">
      <c r="A45" s="1"/>
      <c r="B45" s="1"/>
      <c r="C45" s="10"/>
      <c r="D45" s="1"/>
      <c r="E45" s="1"/>
      <c r="F45" s="1"/>
      <c r="G45" s="1"/>
      <c r="H45" s="1"/>
    </row>
    <row r="46" spans="1:8" x14ac:dyDescent="0.25">
      <c r="A46" s="1"/>
      <c r="B46" s="1"/>
      <c r="C46" s="10"/>
      <c r="D46" s="1"/>
      <c r="E46" s="1"/>
      <c r="F46" s="1"/>
      <c r="G46" s="1"/>
      <c r="H46" s="1"/>
    </row>
    <row r="47" spans="1:8" x14ac:dyDescent="0.25">
      <c r="A47" s="1"/>
      <c r="B47" s="1"/>
      <c r="C47" s="10"/>
      <c r="D47" s="1"/>
      <c r="E47" s="1"/>
      <c r="F47" s="1"/>
      <c r="G47" s="1"/>
      <c r="H47" s="1"/>
    </row>
  </sheetData>
  <hyperlinks>
    <hyperlink ref="H7" r:id="rId1" display="https://www.falstad.com/circuit/circuitjs.html?ctz=CQAgjCAMB0l3BWcMBMcUHYMGZIA4UA2ATmIxAUgoqoQFMBaMMAKAEMQUFCRs8AWXth59BxXhH7RyYePHCx4hAcRT9CCAnhnI5LAEqduvZZzUm8UK-yoQq96AhYAnEOsEJ+g9yEL4rsvAsAOZuhIJ+lj6E5vYswlHhvAIUKJaiVpAsYBjeSV5RcBRgKOCccg5I+nQAzgCWNQAubAB2AMZ0LADubkX8eFQZ-XEARuDCnHgihBAIxlkAHuCE5NhcEhBrUZyCAAoA9vWNdQBudAA6NQBCAK5tANbdYYIZ2BMZWT1cPDZU36mWT7PNz9YEfJ4+BBpYEIEpQCFJKGJDxeeE9IYDZIeaFAjJIow8fG4lL4yE4lhAA" xr:uid="{15FE62C3-23BA-4898-A1E3-F8E1910D516D}"/>
    <hyperlink ref="A18" r:id="rId2" display="https://www.falstad.com/circuit/circuitjs.html?ctz=CQAgjCAMB0l3BWcMBMcUHYMGZIA4UA2ATmIxAUgoqoQFMBaMMAKAEMQUFCRs8AWXth59BxXhH7RyYePHDQUuSBjAIMebMWzrISMIuzI5LAEqduvQnk4pBwm1Sr8qEVEafQELAE4h+hIII-IIBgoT4UODKLADm-oEgETZhSXZRkCwOCfYCFCg2ohksYBihiSEpcBRgKOCcclBeIKZ0AM4Alm0ALmwAdgDGdCwA7v7V-HhURZNOLABG0TwFIoQQCJaZAB7ghOTYXLwoEAcpnIIAcnSxbN0dAG50ADptAEIArgMA1qM5vHnYYT-QSZMZcHguKjg-KOX6pSp-Iqgv4IAoo2pQOGJVEpbEhTFjGZTYEwgkknEWHgU5FFCmpaksIA" xr:uid="{4C383B35-98BE-4EEF-B13C-190B93E0AE2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B4804-7B2C-4AEA-BC64-42607999133B}">
  <dimension ref="A1:H22"/>
  <sheetViews>
    <sheetView workbookViewId="0">
      <selection activeCell="D15" sqref="D15"/>
    </sheetView>
  </sheetViews>
  <sheetFormatPr defaultRowHeight="15" x14ac:dyDescent="0.25"/>
  <cols>
    <col min="1" max="1" width="16.28515625" customWidth="1"/>
    <col min="2" max="2" width="12" bestFit="1" customWidth="1"/>
    <col min="4" max="4" width="33.85546875" customWidth="1"/>
    <col min="6" max="6" width="27.5703125" customWidth="1"/>
  </cols>
  <sheetData>
    <row r="1" spans="1:8" x14ac:dyDescent="0.25">
      <c r="A1" s="3" t="s">
        <v>47</v>
      </c>
      <c r="B1" s="3">
        <v>1.5</v>
      </c>
      <c r="C1" s="2"/>
      <c r="D1" s="3" t="s">
        <v>58</v>
      </c>
      <c r="E1" s="3">
        <v>27</v>
      </c>
      <c r="F1" s="1" t="s">
        <v>63</v>
      </c>
      <c r="G1" s="1"/>
      <c r="H1" s="1"/>
    </row>
    <row r="2" spans="1:8" x14ac:dyDescent="0.25">
      <c r="A2" s="3" t="s">
        <v>51</v>
      </c>
      <c r="B2" s="3">
        <f>(B4*(B3)/(B1))</f>
        <v>6.56</v>
      </c>
      <c r="C2" s="2"/>
      <c r="D2" s="3" t="s">
        <v>59</v>
      </c>
      <c r="E2" s="3">
        <v>1.53</v>
      </c>
      <c r="F2" s="1"/>
      <c r="G2" s="1"/>
      <c r="H2" s="1"/>
    </row>
    <row r="3" spans="1:8" x14ac:dyDescent="0.25">
      <c r="A3" s="3" t="s">
        <v>48</v>
      </c>
      <c r="B3" s="3">
        <v>10</v>
      </c>
      <c r="C3" s="2"/>
      <c r="D3" s="3" t="s">
        <v>60</v>
      </c>
      <c r="E3" s="3">
        <f>1*10^6</f>
        <v>1000000</v>
      </c>
      <c r="F3" s="1"/>
      <c r="G3" s="1"/>
      <c r="H3" s="1"/>
    </row>
    <row r="4" spans="1:8" x14ac:dyDescent="0.25">
      <c r="A4" s="3" t="s">
        <v>49</v>
      </c>
      <c r="B4" s="3">
        <v>0.98399999999999999</v>
      </c>
      <c r="C4" s="2"/>
      <c r="D4" s="3" t="s">
        <v>61</v>
      </c>
      <c r="E4" s="3">
        <f>((E3*E2))/((E1-1))</f>
        <v>58846.153846153844</v>
      </c>
      <c r="F4" s="1"/>
      <c r="G4" s="1"/>
      <c r="H4" s="1"/>
    </row>
    <row r="5" spans="1:8" x14ac:dyDescent="0.25">
      <c r="A5" s="5"/>
      <c r="B5" s="5"/>
      <c r="C5" s="2"/>
      <c r="D5" s="3" t="s">
        <v>62</v>
      </c>
      <c r="E5" s="3">
        <f>E4*10^-3</f>
        <v>58.846153846153847</v>
      </c>
      <c r="F5" s="1"/>
      <c r="G5" s="1"/>
      <c r="H5" s="1"/>
    </row>
    <row r="6" spans="1:8" x14ac:dyDescent="0.25">
      <c r="A6" s="3" t="s">
        <v>50</v>
      </c>
      <c r="B6" s="3">
        <v>1.2</v>
      </c>
      <c r="C6" s="2"/>
      <c r="D6" s="1"/>
      <c r="E6" s="1"/>
      <c r="F6" s="1"/>
      <c r="G6" s="1"/>
      <c r="H6" s="1"/>
    </row>
    <row r="7" spans="1:8" x14ac:dyDescent="0.25">
      <c r="A7" s="3" t="s">
        <v>52</v>
      </c>
      <c r="B7" s="3">
        <f>((B8*B9))/((B6))</f>
        <v>13.725</v>
      </c>
      <c r="C7" s="2"/>
      <c r="D7" s="1"/>
      <c r="E7" s="1"/>
      <c r="F7" s="1"/>
      <c r="G7" s="1"/>
      <c r="H7" s="1"/>
    </row>
    <row r="8" spans="1:8" x14ac:dyDescent="0.25">
      <c r="A8" s="3" t="s">
        <v>49</v>
      </c>
      <c r="B8" s="3">
        <v>2.25</v>
      </c>
      <c r="C8" s="2"/>
      <c r="D8" s="1"/>
      <c r="E8" s="1"/>
      <c r="F8" s="1"/>
      <c r="G8" s="1"/>
      <c r="H8" s="1"/>
    </row>
    <row r="9" spans="1:8" x14ac:dyDescent="0.25">
      <c r="A9" s="3" t="s">
        <v>48</v>
      </c>
      <c r="B9" s="3">
        <v>7.32</v>
      </c>
      <c r="C9" s="2"/>
      <c r="D9" s="1"/>
      <c r="E9" s="1"/>
      <c r="F9" s="1"/>
      <c r="G9" s="1"/>
      <c r="H9" s="1"/>
    </row>
    <row r="10" spans="1:8" x14ac:dyDescent="0.25">
      <c r="A10" s="5"/>
      <c r="B10" s="5"/>
      <c r="C10" s="2"/>
      <c r="D10" s="1"/>
      <c r="E10" s="1"/>
      <c r="F10" s="1"/>
      <c r="G10" s="1"/>
      <c r="H10" s="1"/>
    </row>
    <row r="11" spans="1:8" x14ac:dyDescent="0.25">
      <c r="A11" s="3" t="s">
        <v>53</v>
      </c>
      <c r="B11" s="3"/>
      <c r="C11" s="2"/>
      <c r="D11" s="1"/>
      <c r="E11" s="1"/>
      <c r="F11" s="1"/>
      <c r="G11" s="1"/>
      <c r="H11" s="1"/>
    </row>
    <row r="12" spans="1:8" x14ac:dyDescent="0.25">
      <c r="A12" s="3" t="s">
        <v>54</v>
      </c>
      <c r="B12" s="3">
        <v>6.5</v>
      </c>
      <c r="C12" s="2"/>
      <c r="D12" s="1"/>
      <c r="E12" s="1"/>
      <c r="F12" s="1"/>
      <c r="G12" s="1"/>
      <c r="H12" s="1"/>
    </row>
    <row r="13" spans="1:8" x14ac:dyDescent="0.25">
      <c r="A13" s="3" t="s">
        <v>55</v>
      </c>
      <c r="B13" s="3">
        <v>12</v>
      </c>
      <c r="C13" s="2"/>
      <c r="D13" s="1"/>
      <c r="E13" s="1"/>
      <c r="F13" s="1"/>
      <c r="G13" s="1"/>
      <c r="H13" s="1"/>
    </row>
    <row r="14" spans="1:8" x14ac:dyDescent="0.25">
      <c r="A14" s="3" t="s">
        <v>57</v>
      </c>
      <c r="B14" s="3">
        <v>12</v>
      </c>
      <c r="C14" s="2"/>
      <c r="D14" s="1"/>
      <c r="E14" s="1"/>
      <c r="F14" s="1"/>
      <c r="G14" s="1"/>
      <c r="H14" s="1"/>
    </row>
    <row r="15" spans="1:8" x14ac:dyDescent="0.25">
      <c r="A15" s="3" t="s">
        <v>56</v>
      </c>
      <c r="B15" s="3">
        <f>((B12))/((B13))*((B14))</f>
        <v>6.5</v>
      </c>
      <c r="C15" s="2"/>
      <c r="D15" s="1"/>
      <c r="E15" s="1"/>
      <c r="F15" s="1"/>
      <c r="G15" s="1"/>
      <c r="H15" s="1"/>
    </row>
    <row r="16" spans="1:8" x14ac:dyDescent="0.25">
      <c r="A16" s="1"/>
      <c r="B16" s="1"/>
      <c r="C16" s="2"/>
      <c r="D16" s="1"/>
      <c r="E16" s="1"/>
      <c r="F16" s="1"/>
      <c r="G16" s="1"/>
      <c r="H16" s="1"/>
    </row>
    <row r="17" spans="1:8" x14ac:dyDescent="0.25">
      <c r="A17" s="1"/>
      <c r="B17" s="1"/>
      <c r="C17" s="2"/>
      <c r="D17" s="1"/>
      <c r="E17" s="1"/>
      <c r="F17" s="1"/>
      <c r="G17" s="1"/>
      <c r="H17" s="1"/>
    </row>
    <row r="18" spans="1:8" x14ac:dyDescent="0.25">
      <c r="A18" s="1"/>
      <c r="B18" s="1"/>
      <c r="C18" s="2"/>
      <c r="D18" s="1"/>
      <c r="E18" s="1"/>
      <c r="F18" s="1"/>
      <c r="G18" s="1"/>
      <c r="H18" s="1"/>
    </row>
    <row r="19" spans="1:8" x14ac:dyDescent="0.25">
      <c r="A19" s="1"/>
      <c r="B19" s="1"/>
      <c r="C19" s="2"/>
      <c r="D19" s="1"/>
      <c r="E19" s="1"/>
      <c r="F19" s="1"/>
      <c r="G19" s="1"/>
      <c r="H19" s="1"/>
    </row>
    <row r="20" spans="1:8" x14ac:dyDescent="0.25">
      <c r="A20" s="1"/>
      <c r="B20" s="1"/>
      <c r="C20" s="2"/>
      <c r="D20" s="1"/>
      <c r="E20" s="1"/>
      <c r="F20" s="1"/>
      <c r="G20" s="1"/>
      <c r="H20" s="1"/>
    </row>
    <row r="21" spans="1:8" x14ac:dyDescent="0.25">
      <c r="C21" s="10"/>
    </row>
    <row r="22" spans="1:8" x14ac:dyDescent="0.25">
      <c r="C22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0C4E0-4067-4BC8-88D2-6562A73B173A}">
  <dimension ref="A1:F24"/>
  <sheetViews>
    <sheetView workbookViewId="0">
      <selection activeCell="H6" sqref="H6"/>
    </sheetView>
  </sheetViews>
  <sheetFormatPr defaultRowHeight="15" x14ac:dyDescent="0.25"/>
  <cols>
    <col min="1" max="1" width="22.5703125" customWidth="1"/>
    <col min="4" max="4" width="22.42578125" customWidth="1"/>
  </cols>
  <sheetData>
    <row r="1" spans="1:6" x14ac:dyDescent="0.25">
      <c r="A1" s="3" t="s">
        <v>67</v>
      </c>
      <c r="B1" s="3"/>
      <c r="C1" s="2"/>
      <c r="D1" s="3" t="s">
        <v>68</v>
      </c>
      <c r="E1" s="3"/>
    </row>
    <row r="2" spans="1:6" x14ac:dyDescent="0.25">
      <c r="A2" s="3" t="s">
        <v>70</v>
      </c>
      <c r="B2" s="3">
        <v>110</v>
      </c>
      <c r="C2" s="2"/>
      <c r="D2" s="3" t="s">
        <v>31</v>
      </c>
      <c r="E2" s="3">
        <v>30</v>
      </c>
      <c r="F2" t="s">
        <v>96</v>
      </c>
    </row>
    <row r="3" spans="1:6" x14ac:dyDescent="0.25">
      <c r="A3" s="3" t="s">
        <v>62</v>
      </c>
      <c r="B3" s="3">
        <v>10</v>
      </c>
      <c r="C3" s="2"/>
      <c r="D3" s="3" t="s">
        <v>72</v>
      </c>
      <c r="E3" s="3">
        <f>E2/E5</f>
        <v>2.7272727272727271E-2</v>
      </c>
      <c r="F3" t="s">
        <v>97</v>
      </c>
    </row>
    <row r="4" spans="1:6" x14ac:dyDescent="0.25">
      <c r="A4" s="3" t="s">
        <v>69</v>
      </c>
      <c r="B4" s="3">
        <v>29</v>
      </c>
      <c r="C4" s="2"/>
      <c r="D4" s="3" t="s">
        <v>95</v>
      </c>
      <c r="E4" s="3">
        <f>E3*10^3</f>
        <v>27.27272727272727</v>
      </c>
      <c r="F4" t="s">
        <v>98</v>
      </c>
    </row>
    <row r="5" spans="1:6" x14ac:dyDescent="0.25">
      <c r="A5" s="3" t="s">
        <v>71</v>
      </c>
      <c r="B5" s="3">
        <f>((B3))/((B3+B2))*B4</f>
        <v>2.4166666666666665</v>
      </c>
      <c r="C5" s="2"/>
      <c r="D5" s="3" t="s">
        <v>73</v>
      </c>
      <c r="E5" s="3">
        <v>1100</v>
      </c>
    </row>
    <row r="6" spans="1:6" x14ac:dyDescent="0.25">
      <c r="A6" s="1"/>
      <c r="B6" s="1"/>
      <c r="C6" s="2"/>
      <c r="D6" s="1"/>
      <c r="E6" s="1"/>
    </row>
    <row r="7" spans="1:6" x14ac:dyDescent="0.25">
      <c r="A7" s="1"/>
      <c r="B7" s="1"/>
      <c r="C7" s="2"/>
      <c r="D7" s="1"/>
      <c r="E7" s="1"/>
    </row>
    <row r="8" spans="1:6" x14ac:dyDescent="0.25">
      <c r="A8" s="1"/>
      <c r="B8" s="1"/>
      <c r="C8" s="2"/>
      <c r="D8" s="1"/>
      <c r="E8" s="1"/>
    </row>
    <row r="9" spans="1:6" x14ac:dyDescent="0.25">
      <c r="A9" s="1"/>
      <c r="B9" s="1"/>
      <c r="C9" s="2"/>
      <c r="D9" s="1"/>
      <c r="E9" s="1"/>
    </row>
    <row r="10" spans="1:6" x14ac:dyDescent="0.25">
      <c r="A10" s="1"/>
      <c r="B10" s="1"/>
      <c r="C10" s="2"/>
      <c r="D10" s="1"/>
      <c r="E10" s="1"/>
    </row>
    <row r="11" spans="1:6" x14ac:dyDescent="0.25">
      <c r="A11" s="1"/>
      <c r="B11" s="1"/>
      <c r="C11" s="2"/>
      <c r="D11" s="1"/>
      <c r="E11" s="1"/>
    </row>
    <row r="12" spans="1:6" x14ac:dyDescent="0.25">
      <c r="A12" s="1"/>
      <c r="B12" s="1"/>
      <c r="C12" s="2"/>
      <c r="D12" s="1"/>
      <c r="E12" s="1"/>
    </row>
    <row r="13" spans="1:6" x14ac:dyDescent="0.25">
      <c r="A13" s="1"/>
      <c r="B13" s="1"/>
      <c r="C13" s="2"/>
      <c r="D13" s="1"/>
      <c r="E13" s="1"/>
    </row>
    <row r="14" spans="1:6" x14ac:dyDescent="0.25">
      <c r="A14" s="1"/>
      <c r="B14" s="1"/>
      <c r="C14" s="2"/>
      <c r="D14" s="1"/>
      <c r="E14" s="1"/>
    </row>
    <row r="15" spans="1:6" x14ac:dyDescent="0.25">
      <c r="A15" s="1"/>
      <c r="B15" s="1"/>
      <c r="C15" s="2"/>
      <c r="D15" s="1"/>
      <c r="E15" s="1"/>
    </row>
    <row r="16" spans="1:6" x14ac:dyDescent="0.25">
      <c r="A16" s="1"/>
      <c r="B16" s="1"/>
      <c r="C16" s="2"/>
      <c r="D16" s="1"/>
      <c r="E16" s="1"/>
    </row>
    <row r="17" spans="1:5" x14ac:dyDescent="0.25">
      <c r="A17" s="1"/>
      <c r="B17" s="1"/>
      <c r="C17" s="2"/>
      <c r="D17" s="1"/>
      <c r="E17" s="1"/>
    </row>
    <row r="18" spans="1:5" x14ac:dyDescent="0.25">
      <c r="A18" s="1"/>
      <c r="B18" s="1"/>
      <c r="C18" s="2"/>
      <c r="D18" s="1"/>
      <c r="E18" s="1"/>
    </row>
    <row r="19" spans="1:5" x14ac:dyDescent="0.25">
      <c r="A19" s="1"/>
      <c r="B19" s="1"/>
      <c r="C19" s="2"/>
      <c r="D19" s="1"/>
      <c r="E19" s="1"/>
    </row>
    <row r="20" spans="1:5" x14ac:dyDescent="0.25">
      <c r="A20" s="1"/>
      <c r="B20" s="1"/>
      <c r="C20" s="2"/>
      <c r="D20" s="1"/>
      <c r="E20" s="1"/>
    </row>
    <row r="21" spans="1:5" x14ac:dyDescent="0.25">
      <c r="A21" s="1"/>
      <c r="B21" s="1"/>
      <c r="C21" s="2"/>
      <c r="D21" s="1"/>
      <c r="E21" s="1"/>
    </row>
    <row r="22" spans="1:5" x14ac:dyDescent="0.25">
      <c r="A22" s="1"/>
      <c r="B22" s="1"/>
      <c r="C22" s="2"/>
      <c r="D22" s="1"/>
      <c r="E22" s="1"/>
    </row>
    <row r="23" spans="1:5" x14ac:dyDescent="0.25">
      <c r="A23" s="1"/>
      <c r="B23" s="1"/>
      <c r="C23" s="2"/>
      <c r="D23" s="1"/>
      <c r="E23" s="1"/>
    </row>
    <row r="24" spans="1:5" x14ac:dyDescent="0.25">
      <c r="A24" s="1"/>
      <c r="B24" s="1"/>
      <c r="C24" s="2"/>
      <c r="D24" s="1"/>
      <c r="E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Buck Calculations</vt:lpstr>
      <vt:lpstr>IBB Calculations - Original</vt:lpstr>
      <vt:lpstr>IBB Calculations - LM2596</vt:lpstr>
      <vt:lpstr>IBB Calculations - LM5088-1</vt:lpstr>
      <vt:lpstr>Feed Back Res &amp; Test Load Calc.</vt:lpstr>
      <vt:lpstr>TPS16416 - OVP IC Calculations</vt:lpstr>
      <vt:lpstr>TL431 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William Riccio</dc:creator>
  <cp:lastModifiedBy>Dean Riccio</cp:lastModifiedBy>
  <dcterms:created xsi:type="dcterms:W3CDTF">2025-11-07T18:49:26Z</dcterms:created>
  <dcterms:modified xsi:type="dcterms:W3CDTF">2026-02-04T23:24:18Z</dcterms:modified>
</cp:coreProperties>
</file>